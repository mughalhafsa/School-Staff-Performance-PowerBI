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SL\Downloads\"/>
    </mc:Choice>
  </mc:AlternateContent>
  <xr:revisionPtr revIDLastSave="0" documentId="13_ncr:1_{CCE6C18E-72B7-4FFF-8A11-CE044600EC06}" xr6:coauthVersionLast="45" xr6:coauthVersionMax="45" xr10:uidLastSave="{00000000-0000-0000-0000-000000000000}"/>
  <bookViews>
    <workbookView xWindow="-120" yWindow="-120" windowWidth="20730" windowHeight="11160" tabRatio="847" activeTab="3" xr2:uid="{00000000-000D-0000-FFFF-FFFF00000000}"/>
  </bookViews>
  <sheets>
    <sheet name="Read Me" sheetId="1" r:id="rId1"/>
    <sheet name="Employees" sheetId="2" r:id="rId2"/>
    <sheet name="Weights" sheetId="3" r:id="rId3"/>
    <sheet name="Attendance" sheetId="4" r:id="rId4"/>
    <sheet name="Complaints" sheetId="5" r:id="rId5"/>
    <sheet name="Task_Completion" sheetId="6" r:id="rId6"/>
    <sheet name="Academic_Results" sheetId="7" r:id="rId7"/>
    <sheet name="Performance_Summary" sheetId="8" r:id="rId8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8" l="1"/>
  <c r="H2" i="8"/>
  <c r="G2" i="8"/>
  <c r="F2" i="8"/>
  <c r="E3" i="8"/>
  <c r="E4" i="8"/>
  <c r="A2" i="8"/>
  <c r="D23" i="8"/>
  <c r="L23" i="8" s="1"/>
  <c r="C23" i="8"/>
  <c r="B23" i="8"/>
  <c r="A23" i="8"/>
  <c r="G23" i="8" s="1"/>
  <c r="H23" i="8" s="1"/>
  <c r="K22" i="8"/>
  <c r="G22" i="8"/>
  <c r="H22" i="8" s="1"/>
  <c r="D22" i="8"/>
  <c r="J22" i="8" s="1"/>
  <c r="C22" i="8"/>
  <c r="B22" i="8"/>
  <c r="A22" i="8"/>
  <c r="F22" i="8" s="1"/>
  <c r="G21" i="8"/>
  <c r="H21" i="8" s="1"/>
  <c r="D21" i="8"/>
  <c r="C21" i="8"/>
  <c r="B21" i="8"/>
  <c r="A21" i="8"/>
  <c r="F21" i="8" s="1"/>
  <c r="K20" i="8"/>
  <c r="H20" i="8"/>
  <c r="G20" i="8"/>
  <c r="D20" i="8"/>
  <c r="C20" i="8"/>
  <c r="B20" i="8"/>
  <c r="A20" i="8"/>
  <c r="F20" i="8" s="1"/>
  <c r="K19" i="8"/>
  <c r="G19" i="8"/>
  <c r="H19" i="8" s="1"/>
  <c r="D19" i="8"/>
  <c r="C19" i="8"/>
  <c r="B19" i="8"/>
  <c r="A19" i="8"/>
  <c r="F19" i="8" s="1"/>
  <c r="K18" i="8"/>
  <c r="G18" i="8"/>
  <c r="H18" i="8" s="1"/>
  <c r="D18" i="8"/>
  <c r="C18" i="8"/>
  <c r="B18" i="8"/>
  <c r="A18" i="8"/>
  <c r="F18" i="8" s="1"/>
  <c r="K17" i="8"/>
  <c r="G17" i="8"/>
  <c r="H17" i="8" s="1"/>
  <c r="D17" i="8"/>
  <c r="C17" i="8"/>
  <c r="B17" i="8"/>
  <c r="A17" i="8"/>
  <c r="F17" i="8" s="1"/>
  <c r="K16" i="8"/>
  <c r="G16" i="8"/>
  <c r="H16" i="8" s="1"/>
  <c r="D16" i="8"/>
  <c r="C16" i="8"/>
  <c r="B16" i="8"/>
  <c r="A16" i="8"/>
  <c r="F16" i="8" s="1"/>
  <c r="K15" i="8"/>
  <c r="G15" i="8"/>
  <c r="H15" i="8" s="1"/>
  <c r="D15" i="8"/>
  <c r="C15" i="8"/>
  <c r="B15" i="8"/>
  <c r="A15" i="8"/>
  <c r="F15" i="8" s="1"/>
  <c r="K14" i="8"/>
  <c r="G14" i="8"/>
  <c r="H14" i="8" s="1"/>
  <c r="D14" i="8"/>
  <c r="C14" i="8"/>
  <c r="B14" i="8"/>
  <c r="A14" i="8"/>
  <c r="F14" i="8" s="1"/>
  <c r="K13" i="8"/>
  <c r="G13" i="8"/>
  <c r="H13" i="8" s="1"/>
  <c r="D13" i="8"/>
  <c r="C13" i="8"/>
  <c r="B13" i="8"/>
  <c r="A13" i="8"/>
  <c r="F13" i="8" s="1"/>
  <c r="K12" i="8"/>
  <c r="G12" i="8"/>
  <c r="H12" i="8" s="1"/>
  <c r="D12" i="8"/>
  <c r="C12" i="8"/>
  <c r="B12" i="8"/>
  <c r="A12" i="8"/>
  <c r="F12" i="8" s="1"/>
  <c r="K11" i="8"/>
  <c r="G11" i="8"/>
  <c r="H11" i="8" s="1"/>
  <c r="D11" i="8"/>
  <c r="C11" i="8"/>
  <c r="B11" i="8"/>
  <c r="A11" i="8"/>
  <c r="F11" i="8" s="1"/>
  <c r="K10" i="8"/>
  <c r="G10" i="8"/>
  <c r="H10" i="8" s="1"/>
  <c r="D10" i="8"/>
  <c r="C10" i="8"/>
  <c r="B10" i="8"/>
  <c r="A10" i="8"/>
  <c r="F10" i="8" s="1"/>
  <c r="K9" i="8"/>
  <c r="G9" i="8"/>
  <c r="H9" i="8" s="1"/>
  <c r="D9" i="8"/>
  <c r="C9" i="8"/>
  <c r="B9" i="8"/>
  <c r="A9" i="8"/>
  <c r="F9" i="8" s="1"/>
  <c r="K8" i="8"/>
  <c r="G8" i="8"/>
  <c r="H8" i="8" s="1"/>
  <c r="D8" i="8"/>
  <c r="C8" i="8"/>
  <c r="B8" i="8"/>
  <c r="A8" i="8"/>
  <c r="F8" i="8" s="1"/>
  <c r="K7" i="8"/>
  <c r="G7" i="8"/>
  <c r="H7" i="8" s="1"/>
  <c r="D7" i="8"/>
  <c r="C7" i="8"/>
  <c r="B7" i="8"/>
  <c r="A7" i="8"/>
  <c r="F7" i="8" s="1"/>
  <c r="K6" i="8"/>
  <c r="G6" i="8"/>
  <c r="H6" i="8" s="1"/>
  <c r="D6" i="8"/>
  <c r="C6" i="8"/>
  <c r="B6" i="8"/>
  <c r="A6" i="8"/>
  <c r="F6" i="8" s="1"/>
  <c r="K5" i="8"/>
  <c r="G5" i="8"/>
  <c r="H5" i="8" s="1"/>
  <c r="D5" i="8"/>
  <c r="C5" i="8"/>
  <c r="B5" i="8"/>
  <c r="A5" i="8"/>
  <c r="F5" i="8" s="1"/>
  <c r="K4" i="8"/>
  <c r="G4" i="8"/>
  <c r="H4" i="8" s="1"/>
  <c r="D4" i="8"/>
  <c r="C4" i="8"/>
  <c r="B4" i="8"/>
  <c r="A4" i="8"/>
  <c r="F4" i="8" s="1"/>
  <c r="K3" i="8"/>
  <c r="G3" i="8"/>
  <c r="H3" i="8" s="1"/>
  <c r="D3" i="8"/>
  <c r="C3" i="8"/>
  <c r="B3" i="8"/>
  <c r="A3" i="8"/>
  <c r="F3" i="8" s="1"/>
  <c r="K2" i="8"/>
  <c r="D2" i="8"/>
  <c r="C2" i="8"/>
  <c r="B2" i="8"/>
  <c r="J3" i="8" l="1"/>
  <c r="M3" i="8"/>
  <c r="I3" i="8"/>
  <c r="L3" i="8"/>
  <c r="J5" i="8"/>
  <c r="I5" i="8"/>
  <c r="M5" i="8"/>
  <c r="L5" i="8"/>
  <c r="J7" i="8"/>
  <c r="M7" i="8"/>
  <c r="I7" i="8"/>
  <c r="L7" i="8"/>
  <c r="J9" i="8"/>
  <c r="M9" i="8"/>
  <c r="I9" i="8"/>
  <c r="L9" i="8"/>
  <c r="J11" i="8"/>
  <c r="M11" i="8"/>
  <c r="I11" i="8"/>
  <c r="L11" i="8"/>
  <c r="J13" i="8"/>
  <c r="M13" i="8"/>
  <c r="I13" i="8"/>
  <c r="L13" i="8"/>
  <c r="J15" i="8"/>
  <c r="M15" i="8"/>
  <c r="I15" i="8"/>
  <c r="L15" i="8"/>
  <c r="J17" i="8"/>
  <c r="M17" i="8"/>
  <c r="I17" i="8"/>
  <c r="L17" i="8"/>
  <c r="J19" i="8"/>
  <c r="M19" i="8"/>
  <c r="I19" i="8"/>
  <c r="L19" i="8"/>
  <c r="J21" i="8"/>
  <c r="M21" i="8"/>
  <c r="L21" i="8"/>
  <c r="I21" i="8"/>
  <c r="J2" i="8"/>
  <c r="M2" i="8"/>
  <c r="I2" i="8"/>
  <c r="L2" i="8"/>
  <c r="J4" i="8"/>
  <c r="M4" i="8"/>
  <c r="I4" i="8"/>
  <c r="N4" i="8" s="1"/>
  <c r="O4" i="8" s="1"/>
  <c r="P4" i="8" s="1"/>
  <c r="L4" i="8"/>
  <c r="J6" i="8"/>
  <c r="M6" i="8"/>
  <c r="I6" i="8"/>
  <c r="L6" i="8"/>
  <c r="J8" i="8"/>
  <c r="M8" i="8"/>
  <c r="I8" i="8"/>
  <c r="L8" i="8"/>
  <c r="J10" i="8"/>
  <c r="M10" i="8"/>
  <c r="I10" i="8"/>
  <c r="L10" i="8"/>
  <c r="J12" i="8"/>
  <c r="M12" i="8"/>
  <c r="I12" i="8"/>
  <c r="L12" i="8"/>
  <c r="J14" i="8"/>
  <c r="M14" i="8"/>
  <c r="I14" i="8"/>
  <c r="L14" i="8"/>
  <c r="J16" i="8"/>
  <c r="M16" i="8"/>
  <c r="I16" i="8"/>
  <c r="L16" i="8"/>
  <c r="J18" i="8"/>
  <c r="M18" i="8"/>
  <c r="I18" i="8"/>
  <c r="L18" i="8"/>
  <c r="J20" i="8"/>
  <c r="I20" i="8"/>
  <c r="M20" i="8"/>
  <c r="L20" i="8"/>
  <c r="K21" i="8"/>
  <c r="E5" i="8"/>
  <c r="E6" i="8"/>
  <c r="E8" i="8"/>
  <c r="E10" i="8"/>
  <c r="E11" i="8"/>
  <c r="E12" i="8"/>
  <c r="E13" i="8"/>
  <c r="E14" i="8"/>
  <c r="E15" i="8"/>
  <c r="N15" i="8" s="1"/>
  <c r="O15" i="8" s="1"/>
  <c r="P15" i="8" s="1"/>
  <c r="E16" i="8"/>
  <c r="E17" i="8"/>
  <c r="N17" i="8" s="1"/>
  <c r="O17" i="8" s="1"/>
  <c r="P17" i="8" s="1"/>
  <c r="E18" i="8"/>
  <c r="E19" i="8"/>
  <c r="N19" i="8" s="1"/>
  <c r="O19" i="8" s="1"/>
  <c r="P19" i="8" s="1"/>
  <c r="E20" i="8"/>
  <c r="E21" i="8"/>
  <c r="E22" i="8"/>
  <c r="I22" i="8"/>
  <c r="M22" i="8"/>
  <c r="E23" i="8"/>
  <c r="I23" i="8"/>
  <c r="M23" i="8"/>
  <c r="L22" i="8"/>
  <c r="N3" i="8"/>
  <c r="O3" i="8" s="1"/>
  <c r="P3" i="8" s="1"/>
  <c r="E7" i="8"/>
  <c r="N7" i="8" s="1"/>
  <c r="O7" i="8" s="1"/>
  <c r="P7" i="8" s="1"/>
  <c r="E9" i="8"/>
  <c r="N9" i="8" s="1"/>
  <c r="O9" i="8" s="1"/>
  <c r="P9" i="8" s="1"/>
  <c r="F23" i="8"/>
  <c r="J23" i="8"/>
  <c r="K23" i="8"/>
  <c r="N21" i="8" l="1"/>
  <c r="O21" i="8" s="1"/>
  <c r="P21" i="8" s="1"/>
  <c r="N18" i="8"/>
  <c r="O18" i="8" s="1"/>
  <c r="P18" i="8" s="1"/>
  <c r="N14" i="8"/>
  <c r="O14" i="8" s="1"/>
  <c r="P14" i="8" s="1"/>
  <c r="N10" i="8"/>
  <c r="O10" i="8" s="1"/>
  <c r="P10" i="8" s="1"/>
  <c r="N13" i="8"/>
  <c r="O13" i="8" s="1"/>
  <c r="P13" i="8" s="1"/>
  <c r="N11" i="8"/>
  <c r="O11" i="8" s="1"/>
  <c r="P11" i="8" s="1"/>
  <c r="N5" i="8"/>
  <c r="O5" i="8" s="1"/>
  <c r="P5" i="8" s="1"/>
  <c r="N22" i="8"/>
  <c r="O22" i="8" s="1"/>
  <c r="P22" i="8" s="1"/>
  <c r="N23" i="8"/>
  <c r="O23" i="8" s="1"/>
  <c r="P23" i="8" s="1"/>
  <c r="N8" i="8"/>
  <c r="O8" i="8" s="1"/>
  <c r="P8" i="8" s="1"/>
  <c r="N2" i="8"/>
  <c r="O2" i="8" s="1"/>
  <c r="P2" i="8" s="1"/>
  <c r="N20" i="8"/>
  <c r="O20" i="8" s="1"/>
  <c r="P20" i="8" s="1"/>
  <c r="N16" i="8"/>
  <c r="O16" i="8" s="1"/>
  <c r="P16" i="8" s="1"/>
  <c r="N12" i="8"/>
  <c r="O12" i="8" s="1"/>
  <c r="P12" i="8" s="1"/>
  <c r="N6" i="8"/>
  <c r="O6" i="8" s="1"/>
  <c r="P6" i="8" s="1"/>
</calcChain>
</file>

<file path=xl/sharedStrings.xml><?xml version="1.0" encoding="utf-8"?>
<sst xmlns="http://schemas.openxmlformats.org/spreadsheetml/2006/main" count="923" uniqueCount="119">
  <si>
    <t>SCHOOL STAFF PERFORMANCE FRAMEWORK — SAMPLE / DEMO DATA</t>
  </si>
  <si>
    <t>Purpose: demonstrate a role-specific, weighted performance scoring model that feeds an annual increment</t>
  </si>
  <si>
    <t>recommendation, replacing a flat/subjective 10% increment for all staff.</t>
  </si>
  <si>
    <t>IMPORTANT — this is SYNTHETIC sample data, not real school records. It exists to prove the model works</t>
  </si>
  <si>
    <t>end-to-end (raw logs -&gt; KPIs -&gt; weighted score -&gt; increment tier) before real data is entered.</t>
  </si>
  <si>
    <t>HOW TO USE WITH REAL DATA:</t>
  </si>
  <si>
    <t>1. Replace rows in Employees, Attendance, Complaints, Task_Completion, Academic_Results with real records.</t>
  </si>
  <si>
    <t xml:space="preserve">   Keep the column headers and EmployeeID scheme identical so formulas keep working.</t>
  </si>
  <si>
    <t>2. Review/adjust the weights on the Weights tab (yellow cells) — these are a starting assumption, not fixed policy.</t>
  </si>
  <si>
    <t>3. Performance_Summary recalculates automatically from the raw sheets — nothing there is hardcoded.</t>
  </si>
  <si>
    <t>4. Import Employees, Attendance, Complaints, Task_Completion, Academic_Results, and Performance_Summary</t>
  </si>
  <si>
    <t xml:space="preserve">   into Power BI as separate tables; build DAX measures on top for the interactive dashboard.</t>
  </si>
  <si>
    <t>KEY ASSUMPTIONS (documented so anyone reading this can challenge them):</t>
  </si>
  <si>
    <t>- Working days per month assumed at 24 for every employee (6-day week). Adjust in Attendance!C if not accurate.</t>
  </si>
  <si>
    <t>- Complaint-free score caps at 10 complaints/year = 0 score (i.e. 10+ complaints in a year floors the score).</t>
  </si>
  <si>
    <t>- Teaching bucket's 'Output' KPI = average class score (Academic_Results); Office/Support = on-time task completion rate.</t>
  </si>
  <si>
    <t>- Increment tiers: Composite Score &gt;=85 'High', &gt;=70 'Medium', &lt;70 'Low'.</t>
  </si>
  <si>
    <t>- Suggested increment = 10% base +5% (High) / +0% (Medium) / -3% (Low). This is a STARTING FORMULA — HR sets final policy.</t>
  </si>
  <si>
    <t>Bucket logic: Teaching = Regular + Visiting teachers. Office = HR/Accounts/Admin/IT/Media.</t>
  </si>
  <si>
    <t>Support = Domestic Staff, Security, Maintenance (plumber/electrician/gardener/painter/cleaner).</t>
  </si>
  <si>
    <t>EmployeeID</t>
  </si>
  <si>
    <t>Name</t>
  </si>
  <si>
    <t>Department</t>
  </si>
  <si>
    <t>Bucket</t>
  </si>
  <si>
    <t>BaseSalary (PKR/mo)</t>
  </si>
  <si>
    <t>Profile (demo only)</t>
  </si>
  <si>
    <t>E01</t>
  </si>
  <si>
    <t>Ayesha Raza</t>
  </si>
  <si>
    <t>HR</t>
  </si>
  <si>
    <t>Office</t>
  </si>
  <si>
    <t>High</t>
  </si>
  <si>
    <t>E02</t>
  </si>
  <si>
    <t>Bilal Ahmed</t>
  </si>
  <si>
    <t>Accounts</t>
  </si>
  <si>
    <t>Medium</t>
  </si>
  <si>
    <t>E03</t>
  </si>
  <si>
    <t>Sana Tariq</t>
  </si>
  <si>
    <t>Low</t>
  </si>
  <si>
    <t>E04</t>
  </si>
  <si>
    <t>Usman Farooq</t>
  </si>
  <si>
    <t>Admin</t>
  </si>
  <si>
    <t>E05</t>
  </si>
  <si>
    <t>Mahnoor Iqbal</t>
  </si>
  <si>
    <t>Improving</t>
  </si>
  <si>
    <t>E06</t>
  </si>
  <si>
    <t>Hamza Sheikh</t>
  </si>
  <si>
    <t>IT</t>
  </si>
  <si>
    <t>E07</t>
  </si>
  <si>
    <t>Zara Khan</t>
  </si>
  <si>
    <t>E08</t>
  </si>
  <si>
    <t>Ali Raza</t>
  </si>
  <si>
    <t>Media</t>
  </si>
  <si>
    <t>E09</t>
  </si>
  <si>
    <t>Fatima Noor</t>
  </si>
  <si>
    <t>Teaching (Regular)</t>
  </si>
  <si>
    <t>Teaching</t>
  </si>
  <si>
    <t>E10</t>
  </si>
  <si>
    <t>Imran Chaudhry</t>
  </si>
  <si>
    <t>E11</t>
  </si>
  <si>
    <t>Rabia Yousaf</t>
  </si>
  <si>
    <t>Declining</t>
  </si>
  <si>
    <t>E12</t>
  </si>
  <si>
    <t>Owais Malik</t>
  </si>
  <si>
    <t>E13</t>
  </si>
  <si>
    <t>Nida Aslam</t>
  </si>
  <si>
    <t>Teaching (Visiting)</t>
  </si>
  <si>
    <t>E14</t>
  </si>
  <si>
    <t>Kamran Butt</t>
  </si>
  <si>
    <t>E15</t>
  </si>
  <si>
    <t>Shabana Bibi</t>
  </si>
  <si>
    <t>Domestic Staff</t>
  </si>
  <si>
    <t>Support</t>
  </si>
  <si>
    <t>E16</t>
  </si>
  <si>
    <t>Rukhsana Kausar</t>
  </si>
  <si>
    <t>E17</t>
  </si>
  <si>
    <t>Naveed Anjum</t>
  </si>
  <si>
    <t>Security</t>
  </si>
  <si>
    <t>E18</t>
  </si>
  <si>
    <t>Rashid Mehmood</t>
  </si>
  <si>
    <t>E19</t>
  </si>
  <si>
    <t>Aslam Masih</t>
  </si>
  <si>
    <t>Maintenance</t>
  </si>
  <si>
    <t>E20</t>
  </si>
  <si>
    <t>Yasir Iqbal</t>
  </si>
  <si>
    <t>E21</t>
  </si>
  <si>
    <t>Nasreen Akhtar</t>
  </si>
  <si>
    <t>E22</t>
  </si>
  <si>
    <t>Ghulam Fareed</t>
  </si>
  <si>
    <t>Weight_Attendance</t>
  </si>
  <si>
    <t>Weight_Punctuality</t>
  </si>
  <si>
    <t>Weight_ComplaintFree</t>
  </si>
  <si>
    <t>Weight_Output</t>
  </si>
  <si>
    <t>Edit the yellow cells to change how much each KPI counts per bucket. Each row should sum to 100%.</t>
  </si>
  <si>
    <t>Month</t>
  </si>
  <si>
    <t>WorkingDays</t>
  </si>
  <si>
    <t>DaysPresent</t>
  </si>
  <si>
    <t>DaysLate</t>
  </si>
  <si>
    <t>ComplaintCount</t>
  </si>
  <si>
    <t>AvgSeverity (1=Low,3=High)</t>
  </si>
  <si>
    <t>TasksAssigned</t>
  </si>
  <si>
    <t>TasksCompletedOnTime</t>
  </si>
  <si>
    <t>Term</t>
  </si>
  <si>
    <t>ClassAvgScore (0-100)</t>
  </si>
  <si>
    <t>StudentFeedbackScore (1-5)</t>
  </si>
  <si>
    <t>Mid-Year</t>
  </si>
  <si>
    <t>Final</t>
  </si>
  <si>
    <t>Attendance %</t>
  </si>
  <si>
    <t>Punctuality %</t>
  </si>
  <si>
    <t>Total Complaints (Year)</t>
  </si>
  <si>
    <t>Complaint-Free Score</t>
  </si>
  <si>
    <t>Output Score</t>
  </si>
  <si>
    <t>W_Attendance</t>
  </si>
  <si>
    <t>W_Punctuality</t>
  </si>
  <si>
    <t>W_ComplaintFree</t>
  </si>
  <si>
    <t>W_Output</t>
  </si>
  <si>
    <t>Composite Score (0-100)</t>
  </si>
  <si>
    <t>Increment Tier</t>
  </si>
  <si>
    <t>Suggested Increment %</t>
  </si>
  <si>
    <t>Suggested Increment % is a starting formula (base 10% +/- performance tier). HR reviews and finalizes actual increments.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</si>
</sst>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\%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0" fontId="2" fillId="0" borderId="1" xfId="0" applyFont="1" applyBorder="1"/>
    <xf numFmtId="9" fontId="2" fillId="3" borderId="1" xfId="0" applyNumberFormat="1" applyFont="1" applyFill="1" applyBorder="1"/>
    <xf numFmtId="0" fontId="4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opLeftCell="A17" zoomScaleNormal="100" workbookViewId="0">
      <selection activeCell="A24" sqref="A24"/>
    </sheetView>
  </sheetViews>
  <sheetFormatPr defaultColWidth="8.7109375" defaultRowHeight="15" x14ac:dyDescent="0.2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1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/>
    </row>
    <row r="17" spans="1:1" x14ac:dyDescent="0.25">
      <c r="A17" s="1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ht="25.5" x14ac:dyDescent="0.25">
      <c r="A20" s="2" t="s">
        <v>15</v>
      </c>
    </row>
    <row r="21" spans="1:1" x14ac:dyDescent="0.25">
      <c r="A21" s="2" t="s">
        <v>16</v>
      </c>
    </row>
    <row r="22" spans="1:1" ht="25.5" x14ac:dyDescent="0.25">
      <c r="A22" s="2" t="s">
        <v>17</v>
      </c>
    </row>
    <row r="23" spans="1:1" x14ac:dyDescent="0.25">
      <c r="A23" s="2"/>
    </row>
    <row r="24" spans="1:1" x14ac:dyDescent="0.25">
      <c r="A24" s="2" t="s">
        <v>18</v>
      </c>
    </row>
    <row r="25" spans="1:1" x14ac:dyDescent="0.25">
      <c r="A25" s="2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8.7109375" defaultRowHeight="15" x14ac:dyDescent="0.25"/>
  <cols>
    <col min="1" max="1" width="10" customWidth="1"/>
    <col min="2" max="2" width="20" customWidth="1"/>
    <col min="3" max="3" width="22" customWidth="1"/>
    <col min="4" max="4" width="12" customWidth="1"/>
    <col min="5" max="5" width="18" customWidth="1"/>
    <col min="6" max="6" width="16" customWidth="1"/>
  </cols>
  <sheetData>
    <row r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 x14ac:dyDescent="0.25">
      <c r="A2" s="4" t="s">
        <v>26</v>
      </c>
      <c r="B2" s="4" t="s">
        <v>27</v>
      </c>
      <c r="C2" s="4" t="s">
        <v>28</v>
      </c>
      <c r="D2" s="4" t="s">
        <v>29</v>
      </c>
      <c r="E2" s="4">
        <v>65000</v>
      </c>
      <c r="F2" s="4" t="s">
        <v>30</v>
      </c>
    </row>
    <row r="3" spans="1:6" x14ac:dyDescent="0.25">
      <c r="A3" s="4" t="s">
        <v>31</v>
      </c>
      <c r="B3" s="4" t="s">
        <v>32</v>
      </c>
      <c r="C3" s="4" t="s">
        <v>33</v>
      </c>
      <c r="D3" s="4" t="s">
        <v>29</v>
      </c>
      <c r="E3" s="4">
        <v>60000</v>
      </c>
      <c r="F3" s="4" t="s">
        <v>34</v>
      </c>
    </row>
    <row r="4" spans="1:6" x14ac:dyDescent="0.25">
      <c r="A4" s="4" t="s">
        <v>35</v>
      </c>
      <c r="B4" s="4" t="s">
        <v>36</v>
      </c>
      <c r="C4" s="4" t="s">
        <v>33</v>
      </c>
      <c r="D4" s="4" t="s">
        <v>29</v>
      </c>
      <c r="E4" s="4">
        <v>58000</v>
      </c>
      <c r="F4" s="4" t="s">
        <v>37</v>
      </c>
    </row>
    <row r="5" spans="1:6" x14ac:dyDescent="0.25">
      <c r="A5" s="4" t="s">
        <v>38</v>
      </c>
      <c r="B5" s="4" t="s">
        <v>39</v>
      </c>
      <c r="C5" s="4" t="s">
        <v>40</v>
      </c>
      <c r="D5" s="4" t="s">
        <v>29</v>
      </c>
      <c r="E5" s="4">
        <v>55000</v>
      </c>
      <c r="F5" s="4" t="s">
        <v>34</v>
      </c>
    </row>
    <row r="6" spans="1:6" x14ac:dyDescent="0.25">
      <c r="A6" s="4" t="s">
        <v>41</v>
      </c>
      <c r="B6" s="4" t="s">
        <v>42</v>
      </c>
      <c r="C6" s="4" t="s">
        <v>40</v>
      </c>
      <c r="D6" s="4" t="s">
        <v>29</v>
      </c>
      <c r="E6" s="4">
        <v>54000</v>
      </c>
      <c r="F6" s="4" t="s">
        <v>43</v>
      </c>
    </row>
    <row r="7" spans="1:6" x14ac:dyDescent="0.25">
      <c r="A7" s="4" t="s">
        <v>44</v>
      </c>
      <c r="B7" s="4" t="s">
        <v>45</v>
      </c>
      <c r="C7" s="4" t="s">
        <v>46</v>
      </c>
      <c r="D7" s="4" t="s">
        <v>29</v>
      </c>
      <c r="E7" s="4">
        <v>70000</v>
      </c>
      <c r="F7" s="4" t="s">
        <v>30</v>
      </c>
    </row>
    <row r="8" spans="1:6" x14ac:dyDescent="0.25">
      <c r="A8" s="4" t="s">
        <v>47</v>
      </c>
      <c r="B8" s="4" t="s">
        <v>48</v>
      </c>
      <c r="C8" s="4" t="s">
        <v>46</v>
      </c>
      <c r="D8" s="4" t="s">
        <v>29</v>
      </c>
      <c r="E8" s="4">
        <v>68000</v>
      </c>
      <c r="F8" s="4" t="s">
        <v>34</v>
      </c>
    </row>
    <row r="9" spans="1:6" x14ac:dyDescent="0.25">
      <c r="A9" s="4" t="s">
        <v>49</v>
      </c>
      <c r="B9" s="4" t="s">
        <v>50</v>
      </c>
      <c r="C9" s="4" t="s">
        <v>51</v>
      </c>
      <c r="D9" s="4" t="s">
        <v>29</v>
      </c>
      <c r="E9" s="4">
        <v>52000</v>
      </c>
      <c r="F9" s="4" t="s">
        <v>34</v>
      </c>
    </row>
    <row r="10" spans="1:6" x14ac:dyDescent="0.25">
      <c r="A10" s="4" t="s">
        <v>52</v>
      </c>
      <c r="B10" s="4" t="s">
        <v>53</v>
      </c>
      <c r="C10" s="4" t="s">
        <v>54</v>
      </c>
      <c r="D10" s="4" t="s">
        <v>55</v>
      </c>
      <c r="E10" s="4">
        <v>62000</v>
      </c>
      <c r="F10" s="4" t="s">
        <v>30</v>
      </c>
    </row>
    <row r="11" spans="1:6" x14ac:dyDescent="0.25">
      <c r="A11" s="4" t="s">
        <v>56</v>
      </c>
      <c r="B11" s="4" t="s">
        <v>57</v>
      </c>
      <c r="C11" s="4" t="s">
        <v>54</v>
      </c>
      <c r="D11" s="4" t="s">
        <v>55</v>
      </c>
      <c r="E11" s="4">
        <v>60000</v>
      </c>
      <c r="F11" s="4" t="s">
        <v>34</v>
      </c>
    </row>
    <row r="12" spans="1:6" x14ac:dyDescent="0.25">
      <c r="A12" s="4" t="s">
        <v>58</v>
      </c>
      <c r="B12" s="4" t="s">
        <v>59</v>
      </c>
      <c r="C12" s="4" t="s">
        <v>54</v>
      </c>
      <c r="D12" s="4" t="s">
        <v>55</v>
      </c>
      <c r="E12" s="4">
        <v>61000</v>
      </c>
      <c r="F12" s="4" t="s">
        <v>60</v>
      </c>
    </row>
    <row r="13" spans="1:6" x14ac:dyDescent="0.25">
      <c r="A13" s="4" t="s">
        <v>61</v>
      </c>
      <c r="B13" s="4" t="s">
        <v>62</v>
      </c>
      <c r="C13" s="4" t="s">
        <v>54</v>
      </c>
      <c r="D13" s="4" t="s">
        <v>55</v>
      </c>
      <c r="E13" s="4">
        <v>59000</v>
      </c>
      <c r="F13" s="4" t="s">
        <v>34</v>
      </c>
    </row>
    <row r="14" spans="1:6" x14ac:dyDescent="0.25">
      <c r="A14" s="4" t="s">
        <v>63</v>
      </c>
      <c r="B14" s="4" t="s">
        <v>64</v>
      </c>
      <c r="C14" s="4" t="s">
        <v>65</v>
      </c>
      <c r="D14" s="4" t="s">
        <v>55</v>
      </c>
      <c r="E14" s="4">
        <v>45000</v>
      </c>
      <c r="F14" s="4" t="s">
        <v>30</v>
      </c>
    </row>
    <row r="15" spans="1:6" x14ac:dyDescent="0.25">
      <c r="A15" s="4" t="s">
        <v>66</v>
      </c>
      <c r="B15" s="4" t="s">
        <v>67</v>
      </c>
      <c r="C15" s="4" t="s">
        <v>65</v>
      </c>
      <c r="D15" s="4" t="s">
        <v>55</v>
      </c>
      <c r="E15" s="4">
        <v>43000</v>
      </c>
      <c r="F15" s="4" t="s">
        <v>37</v>
      </c>
    </row>
    <row r="16" spans="1:6" x14ac:dyDescent="0.25">
      <c r="A16" s="4" t="s">
        <v>68</v>
      </c>
      <c r="B16" s="4" t="s">
        <v>69</v>
      </c>
      <c r="C16" s="4" t="s">
        <v>70</v>
      </c>
      <c r="D16" s="4" t="s">
        <v>71</v>
      </c>
      <c r="E16" s="4">
        <v>28000</v>
      </c>
      <c r="F16" s="4" t="s">
        <v>34</v>
      </c>
    </row>
    <row r="17" spans="1:6" x14ac:dyDescent="0.25">
      <c r="A17" s="4" t="s">
        <v>72</v>
      </c>
      <c r="B17" s="4" t="s">
        <v>73</v>
      </c>
      <c r="C17" s="4" t="s">
        <v>70</v>
      </c>
      <c r="D17" s="4" t="s">
        <v>71</v>
      </c>
      <c r="E17" s="4">
        <v>27000</v>
      </c>
      <c r="F17" s="4" t="s">
        <v>37</v>
      </c>
    </row>
    <row r="18" spans="1:6" x14ac:dyDescent="0.25">
      <c r="A18" s="4" t="s">
        <v>74</v>
      </c>
      <c r="B18" s="4" t="s">
        <v>75</v>
      </c>
      <c r="C18" s="4" t="s">
        <v>76</v>
      </c>
      <c r="D18" s="4" t="s">
        <v>71</v>
      </c>
      <c r="E18" s="4">
        <v>30000</v>
      </c>
      <c r="F18" s="4" t="s">
        <v>30</v>
      </c>
    </row>
    <row r="19" spans="1:6" x14ac:dyDescent="0.25">
      <c r="A19" s="4" t="s">
        <v>77</v>
      </c>
      <c r="B19" s="4" t="s">
        <v>78</v>
      </c>
      <c r="C19" s="4" t="s">
        <v>76</v>
      </c>
      <c r="D19" s="4" t="s">
        <v>71</v>
      </c>
      <c r="E19" s="4">
        <v>29000</v>
      </c>
      <c r="F19" s="4" t="s">
        <v>34</v>
      </c>
    </row>
    <row r="20" spans="1:6" x14ac:dyDescent="0.25">
      <c r="A20" s="4" t="s">
        <v>79</v>
      </c>
      <c r="B20" s="4" t="s">
        <v>80</v>
      </c>
      <c r="C20" s="4" t="s">
        <v>81</v>
      </c>
      <c r="D20" s="4" t="s">
        <v>71</v>
      </c>
      <c r="E20" s="4">
        <v>26000</v>
      </c>
      <c r="F20" s="4" t="s">
        <v>34</v>
      </c>
    </row>
    <row r="21" spans="1:6" x14ac:dyDescent="0.25">
      <c r="A21" s="4" t="s">
        <v>82</v>
      </c>
      <c r="B21" s="4" t="s">
        <v>83</v>
      </c>
      <c r="C21" s="4" t="s">
        <v>81</v>
      </c>
      <c r="D21" s="4" t="s">
        <v>71</v>
      </c>
      <c r="E21" s="4">
        <v>26000</v>
      </c>
      <c r="F21" s="4" t="s">
        <v>37</v>
      </c>
    </row>
    <row r="22" spans="1:6" x14ac:dyDescent="0.25">
      <c r="A22" s="4" t="s">
        <v>84</v>
      </c>
      <c r="B22" s="4" t="s">
        <v>85</v>
      </c>
      <c r="C22" s="4" t="s">
        <v>81</v>
      </c>
      <c r="D22" s="4" t="s">
        <v>71</v>
      </c>
      <c r="E22" s="4">
        <v>25000</v>
      </c>
      <c r="F22" s="4" t="s">
        <v>43</v>
      </c>
    </row>
    <row r="23" spans="1:6" x14ac:dyDescent="0.25">
      <c r="A23" s="4" t="s">
        <v>86</v>
      </c>
      <c r="B23" s="4" t="s">
        <v>87</v>
      </c>
      <c r="C23" s="4" t="s">
        <v>81</v>
      </c>
      <c r="D23" s="4" t="s">
        <v>71</v>
      </c>
      <c r="E23" s="4">
        <v>27000</v>
      </c>
      <c r="F23" s="4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Normal="100" workbookViewId="0">
      <pane ySplit="1" topLeftCell="A2" activePane="bottomLeft" state="frozen"/>
      <selection pane="bottomLeft" activeCell="F2" sqref="F2"/>
    </sheetView>
  </sheetViews>
  <sheetFormatPr defaultColWidth="8.7109375" defaultRowHeight="15" x14ac:dyDescent="0.25"/>
  <cols>
    <col min="1" max="1" width="12" customWidth="1"/>
    <col min="2" max="3" width="18" customWidth="1"/>
    <col min="4" max="4" width="20" customWidth="1"/>
    <col min="5" max="5" width="16" customWidth="1"/>
  </cols>
  <sheetData>
    <row r="1" spans="1:5" x14ac:dyDescent="0.25">
      <c r="A1" s="3" t="s">
        <v>23</v>
      </c>
      <c r="B1" s="3" t="s">
        <v>88</v>
      </c>
      <c r="C1" s="3" t="s">
        <v>89</v>
      </c>
      <c r="D1" s="3" t="s">
        <v>90</v>
      </c>
      <c r="E1" s="3" t="s">
        <v>91</v>
      </c>
    </row>
    <row r="2" spans="1:5" x14ac:dyDescent="0.25">
      <c r="A2" s="4" t="s">
        <v>55</v>
      </c>
      <c r="B2" s="5">
        <v>0.2</v>
      </c>
      <c r="C2" s="5">
        <v>0.15</v>
      </c>
      <c r="D2" s="5">
        <v>0.15</v>
      </c>
      <c r="E2" s="5">
        <v>0.5</v>
      </c>
    </row>
    <row r="3" spans="1:5" x14ac:dyDescent="0.25">
      <c r="A3" s="4" t="s">
        <v>29</v>
      </c>
      <c r="B3" s="5">
        <v>0.25</v>
      </c>
      <c r="C3" s="5">
        <v>0.2</v>
      </c>
      <c r="D3" s="5">
        <v>0.2</v>
      </c>
      <c r="E3" s="5">
        <v>0.35</v>
      </c>
    </row>
    <row r="4" spans="1:5" x14ac:dyDescent="0.25">
      <c r="A4" s="4" t="s">
        <v>71</v>
      </c>
      <c r="B4" s="5">
        <v>0.3</v>
      </c>
      <c r="C4" s="5">
        <v>0.25</v>
      </c>
      <c r="D4" s="5">
        <v>0.25</v>
      </c>
      <c r="E4" s="5">
        <v>0.2</v>
      </c>
    </row>
    <row r="6" spans="1:5" x14ac:dyDescent="0.25">
      <c r="A6" s="6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5"/>
  <sheetViews>
    <sheetView tabSelected="1" zoomScaleNormal="100" workbookViewId="0">
      <pane ySplit="1" topLeftCell="A2" activePane="bottomLeft" state="frozen"/>
      <selection pane="bottomLeft" activeCell="F13" sqref="F13"/>
    </sheetView>
  </sheetViews>
  <sheetFormatPr defaultColWidth="8.7109375" defaultRowHeight="15" x14ac:dyDescent="0.25"/>
  <cols>
    <col min="1" max="1" width="10" customWidth="1"/>
    <col min="2" max="2" width="8" customWidth="1"/>
    <col min="3" max="4" width="12" customWidth="1"/>
    <col min="5" max="5" width="10" customWidth="1"/>
  </cols>
  <sheetData>
    <row r="1" spans="1:5" x14ac:dyDescent="0.25">
      <c r="A1" s="3" t="s">
        <v>20</v>
      </c>
      <c r="B1" s="3" t="s">
        <v>93</v>
      </c>
      <c r="C1" s="3" t="s">
        <v>94</v>
      </c>
      <c r="D1" s="3" t="s">
        <v>95</v>
      </c>
      <c r="E1" s="3" t="s">
        <v>96</v>
      </c>
    </row>
    <row r="2" spans="1:5" x14ac:dyDescent="0.25">
      <c r="A2" s="4" t="s">
        <v>26</v>
      </c>
      <c r="B2" s="4">
        <v>1</v>
      </c>
      <c r="C2" s="4">
        <v>24</v>
      </c>
      <c r="D2" s="4">
        <v>23</v>
      </c>
      <c r="E2" s="4">
        <v>0</v>
      </c>
    </row>
    <row r="3" spans="1:5" x14ac:dyDescent="0.25">
      <c r="A3" s="4" t="s">
        <v>26</v>
      </c>
      <c r="B3" s="4">
        <v>2</v>
      </c>
      <c r="C3" s="4">
        <v>24</v>
      </c>
      <c r="D3" s="4">
        <v>23</v>
      </c>
      <c r="E3" s="4">
        <v>1</v>
      </c>
    </row>
    <row r="4" spans="1:5" x14ac:dyDescent="0.25">
      <c r="A4" s="4" t="s">
        <v>26</v>
      </c>
      <c r="B4" s="4">
        <v>3</v>
      </c>
      <c r="C4" s="4">
        <v>24</v>
      </c>
      <c r="D4" s="4">
        <v>23</v>
      </c>
      <c r="E4" s="4">
        <v>0</v>
      </c>
    </row>
    <row r="5" spans="1:5" x14ac:dyDescent="0.25">
      <c r="A5" s="4" t="s">
        <v>26</v>
      </c>
      <c r="B5" s="4">
        <v>4</v>
      </c>
      <c r="C5" s="4">
        <v>24</v>
      </c>
      <c r="D5" s="4">
        <v>23</v>
      </c>
      <c r="E5" s="4">
        <v>0</v>
      </c>
    </row>
    <row r="6" spans="1:5" x14ac:dyDescent="0.25">
      <c r="A6" s="4" t="s">
        <v>26</v>
      </c>
      <c r="B6" s="4">
        <v>5</v>
      </c>
      <c r="C6" s="4">
        <v>24</v>
      </c>
      <c r="D6" s="4">
        <v>23</v>
      </c>
      <c r="E6" s="4">
        <v>0</v>
      </c>
    </row>
    <row r="7" spans="1:5" x14ac:dyDescent="0.25">
      <c r="A7" s="4" t="s">
        <v>26</v>
      </c>
      <c r="B7" s="4">
        <v>6</v>
      </c>
      <c r="C7" s="4">
        <v>24</v>
      </c>
      <c r="D7" s="4">
        <v>23</v>
      </c>
      <c r="E7" s="4">
        <v>1</v>
      </c>
    </row>
    <row r="8" spans="1:5" x14ac:dyDescent="0.25">
      <c r="A8" s="4" t="s">
        <v>26</v>
      </c>
      <c r="B8" s="4">
        <v>7</v>
      </c>
      <c r="C8" s="4">
        <v>24</v>
      </c>
      <c r="D8" s="4">
        <v>23</v>
      </c>
      <c r="E8" s="4">
        <v>0</v>
      </c>
    </row>
    <row r="9" spans="1:5" x14ac:dyDescent="0.25">
      <c r="A9" s="4" t="s">
        <v>26</v>
      </c>
      <c r="B9" s="4">
        <v>8</v>
      </c>
      <c r="C9" s="4">
        <v>24</v>
      </c>
      <c r="D9" s="4">
        <v>24</v>
      </c>
      <c r="E9" s="4">
        <v>0</v>
      </c>
    </row>
    <row r="10" spans="1:5" x14ac:dyDescent="0.25">
      <c r="A10" s="4" t="s">
        <v>26</v>
      </c>
      <c r="B10" s="4">
        <v>9</v>
      </c>
      <c r="C10" s="4">
        <v>24</v>
      </c>
      <c r="D10" s="4">
        <v>23</v>
      </c>
      <c r="E10" s="4">
        <v>1</v>
      </c>
    </row>
    <row r="11" spans="1:5" x14ac:dyDescent="0.25">
      <c r="A11" s="4" t="s">
        <v>26</v>
      </c>
      <c r="B11" s="4">
        <v>10</v>
      </c>
      <c r="C11" s="4">
        <v>24</v>
      </c>
      <c r="D11" s="4">
        <v>23</v>
      </c>
      <c r="E11" s="4">
        <v>0</v>
      </c>
    </row>
    <row r="12" spans="1:5" x14ac:dyDescent="0.25">
      <c r="A12" s="4" t="s">
        <v>26</v>
      </c>
      <c r="B12" s="4">
        <v>11</v>
      </c>
      <c r="C12" s="4">
        <v>24</v>
      </c>
      <c r="D12" s="4">
        <v>23</v>
      </c>
      <c r="E12" s="4">
        <v>0</v>
      </c>
    </row>
    <row r="13" spans="1:5" x14ac:dyDescent="0.25">
      <c r="A13" s="4" t="s">
        <v>26</v>
      </c>
      <c r="B13" s="4">
        <v>12</v>
      </c>
      <c r="C13" s="4">
        <v>24</v>
      </c>
      <c r="D13" s="4">
        <v>23</v>
      </c>
      <c r="E13" s="4">
        <v>1</v>
      </c>
    </row>
    <row r="14" spans="1:5" x14ac:dyDescent="0.25">
      <c r="A14" s="4" t="s">
        <v>31</v>
      </c>
      <c r="B14" s="4">
        <v>1</v>
      </c>
      <c r="C14" s="4">
        <v>24</v>
      </c>
      <c r="D14" s="4">
        <v>21</v>
      </c>
      <c r="E14" s="4">
        <v>1</v>
      </c>
    </row>
    <row r="15" spans="1:5" x14ac:dyDescent="0.25">
      <c r="A15" s="4" t="s">
        <v>31</v>
      </c>
      <c r="B15" s="4">
        <v>2</v>
      </c>
      <c r="C15" s="4">
        <v>24</v>
      </c>
      <c r="D15" s="4">
        <v>22</v>
      </c>
      <c r="E15" s="4">
        <v>2</v>
      </c>
    </row>
    <row r="16" spans="1:5" x14ac:dyDescent="0.25">
      <c r="A16" s="4" t="s">
        <v>31</v>
      </c>
      <c r="B16" s="4">
        <v>3</v>
      </c>
      <c r="C16" s="4">
        <v>24</v>
      </c>
      <c r="D16" s="4">
        <v>21</v>
      </c>
      <c r="E16" s="4">
        <v>1</v>
      </c>
    </row>
    <row r="17" spans="1:5" x14ac:dyDescent="0.25">
      <c r="A17" s="4" t="s">
        <v>31</v>
      </c>
      <c r="B17" s="4">
        <v>4</v>
      </c>
      <c r="C17" s="4">
        <v>24</v>
      </c>
      <c r="D17" s="4">
        <v>21</v>
      </c>
      <c r="E17" s="4">
        <v>0</v>
      </c>
    </row>
    <row r="18" spans="1:5" x14ac:dyDescent="0.25">
      <c r="A18" s="4" t="s">
        <v>31</v>
      </c>
      <c r="B18" s="4">
        <v>5</v>
      </c>
      <c r="C18" s="4">
        <v>24</v>
      </c>
      <c r="D18" s="4">
        <v>24</v>
      </c>
      <c r="E18" s="4">
        <v>1</v>
      </c>
    </row>
    <row r="19" spans="1:5" x14ac:dyDescent="0.25">
      <c r="A19" s="4" t="s">
        <v>31</v>
      </c>
      <c r="B19" s="4">
        <v>6</v>
      </c>
      <c r="C19" s="4">
        <v>24</v>
      </c>
      <c r="D19" s="4">
        <v>23</v>
      </c>
      <c r="E19" s="4">
        <v>2</v>
      </c>
    </row>
    <row r="20" spans="1:5" x14ac:dyDescent="0.25">
      <c r="A20" s="4" t="s">
        <v>31</v>
      </c>
      <c r="B20" s="4">
        <v>7</v>
      </c>
      <c r="C20" s="4">
        <v>24</v>
      </c>
      <c r="D20" s="4">
        <v>21</v>
      </c>
      <c r="E20" s="4">
        <v>1</v>
      </c>
    </row>
    <row r="21" spans="1:5" x14ac:dyDescent="0.25">
      <c r="A21" s="4" t="s">
        <v>31</v>
      </c>
      <c r="B21" s="4">
        <v>8</v>
      </c>
      <c r="C21" s="4">
        <v>24</v>
      </c>
      <c r="D21" s="4">
        <v>21</v>
      </c>
      <c r="E21" s="4">
        <v>1</v>
      </c>
    </row>
    <row r="22" spans="1:5" x14ac:dyDescent="0.25">
      <c r="A22" s="4" t="s">
        <v>31</v>
      </c>
      <c r="B22" s="4">
        <v>9</v>
      </c>
      <c r="C22" s="4">
        <v>24</v>
      </c>
      <c r="D22" s="4">
        <v>22</v>
      </c>
      <c r="E22" s="4">
        <v>1</v>
      </c>
    </row>
    <row r="23" spans="1:5" x14ac:dyDescent="0.25">
      <c r="A23" s="4" t="s">
        <v>31</v>
      </c>
      <c r="B23" s="4">
        <v>10</v>
      </c>
      <c r="C23" s="4">
        <v>24</v>
      </c>
      <c r="D23" s="4">
        <v>22</v>
      </c>
      <c r="E23" s="4">
        <v>2</v>
      </c>
    </row>
    <row r="24" spans="1:5" x14ac:dyDescent="0.25">
      <c r="A24" s="4" t="s">
        <v>31</v>
      </c>
      <c r="B24" s="4">
        <v>11</v>
      </c>
      <c r="C24" s="4">
        <v>24</v>
      </c>
      <c r="D24" s="4">
        <v>21</v>
      </c>
      <c r="E24" s="4">
        <v>2</v>
      </c>
    </row>
    <row r="25" spans="1:5" x14ac:dyDescent="0.25">
      <c r="A25" s="4" t="s">
        <v>31</v>
      </c>
      <c r="B25" s="4">
        <v>12</v>
      </c>
      <c r="C25" s="4">
        <v>24</v>
      </c>
      <c r="D25" s="4">
        <v>21</v>
      </c>
      <c r="E25" s="4">
        <v>2</v>
      </c>
    </row>
    <row r="26" spans="1:5" x14ac:dyDescent="0.25">
      <c r="A26" s="4" t="s">
        <v>35</v>
      </c>
      <c r="B26" s="4">
        <v>1</v>
      </c>
      <c r="C26" s="4">
        <v>24</v>
      </c>
      <c r="D26" s="4">
        <v>20</v>
      </c>
      <c r="E26" s="4">
        <v>3</v>
      </c>
    </row>
    <row r="27" spans="1:5" x14ac:dyDescent="0.25">
      <c r="A27" s="4" t="s">
        <v>35</v>
      </c>
      <c r="B27" s="4">
        <v>2</v>
      </c>
      <c r="C27" s="4">
        <v>24</v>
      </c>
      <c r="D27" s="4">
        <v>20</v>
      </c>
      <c r="E27" s="4">
        <v>4</v>
      </c>
    </row>
    <row r="28" spans="1:5" x14ac:dyDescent="0.25">
      <c r="A28" s="4" t="s">
        <v>35</v>
      </c>
      <c r="B28" s="4">
        <v>3</v>
      </c>
      <c r="C28" s="4">
        <v>24</v>
      </c>
      <c r="D28" s="4">
        <v>20</v>
      </c>
      <c r="E28" s="4">
        <v>6</v>
      </c>
    </row>
    <row r="29" spans="1:5" x14ac:dyDescent="0.25">
      <c r="A29" s="4" t="s">
        <v>35</v>
      </c>
      <c r="B29" s="4">
        <v>4</v>
      </c>
      <c r="C29" s="4">
        <v>24</v>
      </c>
      <c r="D29" s="4">
        <v>21</v>
      </c>
      <c r="E29" s="4">
        <v>2</v>
      </c>
    </row>
    <row r="30" spans="1:5" x14ac:dyDescent="0.25">
      <c r="A30" s="4" t="s">
        <v>35</v>
      </c>
      <c r="B30" s="4">
        <v>5</v>
      </c>
      <c r="C30" s="4">
        <v>24</v>
      </c>
      <c r="D30" s="4">
        <v>18</v>
      </c>
      <c r="E30" s="4">
        <v>5</v>
      </c>
    </row>
    <row r="31" spans="1:5" x14ac:dyDescent="0.25">
      <c r="A31" s="4" t="s">
        <v>35</v>
      </c>
      <c r="B31" s="4">
        <v>6</v>
      </c>
      <c r="C31" s="4">
        <v>24</v>
      </c>
      <c r="D31" s="4">
        <v>19</v>
      </c>
      <c r="E31" s="4">
        <v>5</v>
      </c>
    </row>
    <row r="32" spans="1:5" x14ac:dyDescent="0.25">
      <c r="A32" s="4" t="s">
        <v>35</v>
      </c>
      <c r="B32" s="4">
        <v>7</v>
      </c>
      <c r="C32" s="4">
        <v>24</v>
      </c>
      <c r="D32" s="4">
        <v>17</v>
      </c>
      <c r="E32" s="4">
        <v>3</v>
      </c>
    </row>
    <row r="33" spans="1:5" x14ac:dyDescent="0.25">
      <c r="A33" s="4" t="s">
        <v>35</v>
      </c>
      <c r="B33" s="4">
        <v>8</v>
      </c>
      <c r="C33" s="4">
        <v>24</v>
      </c>
      <c r="D33" s="4">
        <v>22</v>
      </c>
      <c r="E33" s="4">
        <v>3</v>
      </c>
    </row>
    <row r="34" spans="1:5" x14ac:dyDescent="0.25">
      <c r="A34" s="4" t="s">
        <v>35</v>
      </c>
      <c r="B34" s="4">
        <v>9</v>
      </c>
      <c r="C34" s="4">
        <v>24</v>
      </c>
      <c r="D34" s="4">
        <v>18</v>
      </c>
      <c r="E34" s="4">
        <v>2</v>
      </c>
    </row>
    <row r="35" spans="1:5" x14ac:dyDescent="0.25">
      <c r="A35" s="4" t="s">
        <v>35</v>
      </c>
      <c r="B35" s="4">
        <v>10</v>
      </c>
      <c r="C35" s="4">
        <v>24</v>
      </c>
      <c r="D35" s="4">
        <v>19</v>
      </c>
      <c r="E35" s="4">
        <v>4</v>
      </c>
    </row>
    <row r="36" spans="1:5" x14ac:dyDescent="0.25">
      <c r="A36" s="4" t="s">
        <v>35</v>
      </c>
      <c r="B36" s="4">
        <v>11</v>
      </c>
      <c r="C36" s="4">
        <v>24</v>
      </c>
      <c r="D36" s="4">
        <v>20</v>
      </c>
      <c r="E36" s="4">
        <v>4</v>
      </c>
    </row>
    <row r="37" spans="1:5" x14ac:dyDescent="0.25">
      <c r="A37" s="4" t="s">
        <v>35</v>
      </c>
      <c r="B37" s="4">
        <v>12</v>
      </c>
      <c r="C37" s="4">
        <v>24</v>
      </c>
      <c r="D37" s="4">
        <v>19</v>
      </c>
      <c r="E37" s="4">
        <v>6</v>
      </c>
    </row>
    <row r="38" spans="1:5" x14ac:dyDescent="0.25">
      <c r="A38" s="4" t="s">
        <v>38</v>
      </c>
      <c r="B38" s="4">
        <v>1</v>
      </c>
      <c r="C38" s="4">
        <v>24</v>
      </c>
      <c r="D38" s="4">
        <v>21</v>
      </c>
      <c r="E38" s="4">
        <v>1</v>
      </c>
    </row>
    <row r="39" spans="1:5" x14ac:dyDescent="0.25">
      <c r="A39" s="4" t="s">
        <v>38</v>
      </c>
      <c r="B39" s="4">
        <v>2</v>
      </c>
      <c r="C39" s="4">
        <v>24</v>
      </c>
      <c r="D39" s="4">
        <v>23</v>
      </c>
      <c r="E39" s="4">
        <v>1</v>
      </c>
    </row>
    <row r="40" spans="1:5" x14ac:dyDescent="0.25">
      <c r="A40" s="4" t="s">
        <v>38</v>
      </c>
      <c r="B40" s="4">
        <v>3</v>
      </c>
      <c r="C40" s="4">
        <v>24</v>
      </c>
      <c r="D40" s="4">
        <v>21</v>
      </c>
      <c r="E40" s="4">
        <v>1</v>
      </c>
    </row>
    <row r="41" spans="1:5" x14ac:dyDescent="0.25">
      <c r="A41" s="4" t="s">
        <v>38</v>
      </c>
      <c r="B41" s="4">
        <v>4</v>
      </c>
      <c r="C41" s="4">
        <v>24</v>
      </c>
      <c r="D41" s="4">
        <v>22</v>
      </c>
      <c r="E41" s="4">
        <v>2</v>
      </c>
    </row>
    <row r="42" spans="1:5" x14ac:dyDescent="0.25">
      <c r="A42" s="4" t="s">
        <v>38</v>
      </c>
      <c r="B42" s="4">
        <v>5</v>
      </c>
      <c r="C42" s="4">
        <v>24</v>
      </c>
      <c r="D42" s="4">
        <v>23</v>
      </c>
      <c r="E42" s="4">
        <v>1</v>
      </c>
    </row>
    <row r="43" spans="1:5" x14ac:dyDescent="0.25">
      <c r="A43" s="4" t="s">
        <v>38</v>
      </c>
      <c r="B43" s="4">
        <v>6</v>
      </c>
      <c r="C43" s="4">
        <v>24</v>
      </c>
      <c r="D43" s="4">
        <v>24</v>
      </c>
      <c r="E43" s="4">
        <v>1</v>
      </c>
    </row>
    <row r="44" spans="1:5" x14ac:dyDescent="0.25">
      <c r="A44" s="4" t="s">
        <v>38</v>
      </c>
      <c r="B44" s="4">
        <v>7</v>
      </c>
      <c r="C44" s="4">
        <v>24</v>
      </c>
      <c r="D44" s="4">
        <v>23</v>
      </c>
      <c r="E44" s="4">
        <v>2</v>
      </c>
    </row>
    <row r="45" spans="1:5" x14ac:dyDescent="0.25">
      <c r="A45" s="4" t="s">
        <v>38</v>
      </c>
      <c r="B45" s="4">
        <v>8</v>
      </c>
      <c r="C45" s="4">
        <v>24</v>
      </c>
      <c r="D45" s="4">
        <v>21</v>
      </c>
      <c r="E45" s="4">
        <v>1</v>
      </c>
    </row>
    <row r="46" spans="1:5" x14ac:dyDescent="0.25">
      <c r="A46" s="4" t="s">
        <v>38</v>
      </c>
      <c r="B46" s="4">
        <v>9</v>
      </c>
      <c r="C46" s="4">
        <v>24</v>
      </c>
      <c r="D46" s="4">
        <v>22</v>
      </c>
      <c r="E46" s="4">
        <v>2</v>
      </c>
    </row>
    <row r="47" spans="1:5" x14ac:dyDescent="0.25">
      <c r="A47" s="4" t="s">
        <v>38</v>
      </c>
      <c r="B47" s="4">
        <v>10</v>
      </c>
      <c r="C47" s="4">
        <v>24</v>
      </c>
      <c r="D47" s="4">
        <v>21</v>
      </c>
      <c r="E47" s="4">
        <v>2</v>
      </c>
    </row>
    <row r="48" spans="1:5" x14ac:dyDescent="0.25">
      <c r="A48" s="4" t="s">
        <v>38</v>
      </c>
      <c r="B48" s="4">
        <v>11</v>
      </c>
      <c r="C48" s="4">
        <v>24</v>
      </c>
      <c r="D48" s="4">
        <v>22</v>
      </c>
      <c r="E48" s="4">
        <v>1</v>
      </c>
    </row>
    <row r="49" spans="1:5" x14ac:dyDescent="0.25">
      <c r="A49" s="4" t="s">
        <v>38</v>
      </c>
      <c r="B49" s="4">
        <v>12</v>
      </c>
      <c r="C49" s="4">
        <v>24</v>
      </c>
      <c r="D49" s="4">
        <v>21</v>
      </c>
      <c r="E49" s="4">
        <v>2</v>
      </c>
    </row>
    <row r="50" spans="1:5" x14ac:dyDescent="0.25">
      <c r="A50" s="4" t="s">
        <v>41</v>
      </c>
      <c r="B50" s="4">
        <v>1</v>
      </c>
      <c r="C50" s="4">
        <v>24</v>
      </c>
      <c r="D50" s="4">
        <v>17</v>
      </c>
      <c r="E50" s="4">
        <v>4</v>
      </c>
    </row>
    <row r="51" spans="1:5" x14ac:dyDescent="0.25">
      <c r="A51" s="4" t="s">
        <v>41</v>
      </c>
      <c r="B51" s="4">
        <v>2</v>
      </c>
      <c r="C51" s="4">
        <v>24</v>
      </c>
      <c r="D51" s="4">
        <v>17</v>
      </c>
      <c r="E51" s="4">
        <v>3</v>
      </c>
    </row>
    <row r="52" spans="1:5" x14ac:dyDescent="0.25">
      <c r="A52" s="4" t="s">
        <v>41</v>
      </c>
      <c r="B52" s="4">
        <v>3</v>
      </c>
      <c r="C52" s="4">
        <v>24</v>
      </c>
      <c r="D52" s="4">
        <v>18</v>
      </c>
      <c r="E52" s="4">
        <v>4</v>
      </c>
    </row>
    <row r="53" spans="1:5" x14ac:dyDescent="0.25">
      <c r="A53" s="4" t="s">
        <v>41</v>
      </c>
      <c r="B53" s="4">
        <v>4</v>
      </c>
      <c r="C53" s="4">
        <v>24</v>
      </c>
      <c r="D53" s="4">
        <v>20</v>
      </c>
      <c r="E53" s="4">
        <v>2</v>
      </c>
    </row>
    <row r="54" spans="1:5" x14ac:dyDescent="0.25">
      <c r="A54" s="4" t="s">
        <v>41</v>
      </c>
      <c r="B54" s="4">
        <v>5</v>
      </c>
      <c r="C54" s="4">
        <v>24</v>
      </c>
      <c r="D54" s="4">
        <v>20</v>
      </c>
      <c r="E54" s="4">
        <v>4</v>
      </c>
    </row>
    <row r="55" spans="1:5" x14ac:dyDescent="0.25">
      <c r="A55" s="4" t="s">
        <v>41</v>
      </c>
      <c r="B55" s="4">
        <v>6</v>
      </c>
      <c r="C55" s="4">
        <v>24</v>
      </c>
      <c r="D55" s="4">
        <v>20</v>
      </c>
      <c r="E55" s="4">
        <v>3</v>
      </c>
    </row>
    <row r="56" spans="1:5" x14ac:dyDescent="0.25">
      <c r="A56" s="4" t="s">
        <v>41</v>
      </c>
      <c r="B56" s="4">
        <v>7</v>
      </c>
      <c r="C56" s="4">
        <v>24</v>
      </c>
      <c r="D56" s="4">
        <v>23</v>
      </c>
      <c r="E56" s="4">
        <v>3</v>
      </c>
    </row>
    <row r="57" spans="1:5" x14ac:dyDescent="0.25">
      <c r="A57" s="4" t="s">
        <v>41</v>
      </c>
      <c r="B57" s="4">
        <v>8</v>
      </c>
      <c r="C57" s="4">
        <v>24</v>
      </c>
      <c r="D57" s="4">
        <v>21</v>
      </c>
      <c r="E57" s="4">
        <v>2</v>
      </c>
    </row>
    <row r="58" spans="1:5" x14ac:dyDescent="0.25">
      <c r="A58" s="4" t="s">
        <v>41</v>
      </c>
      <c r="B58" s="4">
        <v>9</v>
      </c>
      <c r="C58" s="4">
        <v>24</v>
      </c>
      <c r="D58" s="4">
        <v>22</v>
      </c>
      <c r="E58" s="4">
        <v>2</v>
      </c>
    </row>
    <row r="59" spans="1:5" x14ac:dyDescent="0.25">
      <c r="A59" s="4" t="s">
        <v>41</v>
      </c>
      <c r="B59" s="4">
        <v>10</v>
      </c>
      <c r="C59" s="4">
        <v>24</v>
      </c>
      <c r="D59" s="4">
        <v>20</v>
      </c>
      <c r="E59" s="4">
        <v>0</v>
      </c>
    </row>
    <row r="60" spans="1:5" x14ac:dyDescent="0.25">
      <c r="A60" s="4" t="s">
        <v>41</v>
      </c>
      <c r="B60" s="4">
        <v>11</v>
      </c>
      <c r="C60" s="4">
        <v>24</v>
      </c>
      <c r="D60" s="4">
        <v>23</v>
      </c>
      <c r="E60" s="4">
        <v>3</v>
      </c>
    </row>
    <row r="61" spans="1:5" x14ac:dyDescent="0.25">
      <c r="A61" s="4" t="s">
        <v>41</v>
      </c>
      <c r="B61" s="4">
        <v>12</v>
      </c>
      <c r="C61" s="4">
        <v>24</v>
      </c>
      <c r="D61" s="4">
        <v>23</v>
      </c>
      <c r="E61" s="4">
        <v>1</v>
      </c>
    </row>
    <row r="62" spans="1:5" x14ac:dyDescent="0.25">
      <c r="A62" s="4" t="s">
        <v>44</v>
      </c>
      <c r="B62" s="4">
        <v>1</v>
      </c>
      <c r="C62" s="4">
        <v>24</v>
      </c>
      <c r="D62" s="4">
        <v>23</v>
      </c>
      <c r="E62" s="4">
        <v>0</v>
      </c>
    </row>
    <row r="63" spans="1:5" x14ac:dyDescent="0.25">
      <c r="A63" s="4" t="s">
        <v>44</v>
      </c>
      <c r="B63" s="4">
        <v>2</v>
      </c>
      <c r="C63" s="4">
        <v>24</v>
      </c>
      <c r="D63" s="4">
        <v>23</v>
      </c>
      <c r="E63" s="4">
        <v>0</v>
      </c>
    </row>
    <row r="64" spans="1:5" x14ac:dyDescent="0.25">
      <c r="A64" s="4" t="s">
        <v>44</v>
      </c>
      <c r="B64" s="4">
        <v>3</v>
      </c>
      <c r="C64" s="4">
        <v>24</v>
      </c>
      <c r="D64" s="4">
        <v>23</v>
      </c>
      <c r="E64" s="4">
        <v>0</v>
      </c>
    </row>
    <row r="65" spans="1:5" x14ac:dyDescent="0.25">
      <c r="A65" s="4" t="s">
        <v>44</v>
      </c>
      <c r="B65" s="4">
        <v>4</v>
      </c>
      <c r="C65" s="4">
        <v>24</v>
      </c>
      <c r="D65" s="4">
        <v>22</v>
      </c>
      <c r="E65" s="4">
        <v>1</v>
      </c>
    </row>
    <row r="66" spans="1:5" x14ac:dyDescent="0.25">
      <c r="A66" s="4" t="s">
        <v>44</v>
      </c>
      <c r="B66" s="4">
        <v>5</v>
      </c>
      <c r="C66" s="4">
        <v>24</v>
      </c>
      <c r="D66" s="4">
        <v>23</v>
      </c>
      <c r="E66" s="4">
        <v>0</v>
      </c>
    </row>
    <row r="67" spans="1:5" x14ac:dyDescent="0.25">
      <c r="A67" s="4" t="s">
        <v>44</v>
      </c>
      <c r="B67" s="4">
        <v>6</v>
      </c>
      <c r="C67" s="4">
        <v>24</v>
      </c>
      <c r="D67" s="4">
        <v>23</v>
      </c>
      <c r="E67" s="4">
        <v>1</v>
      </c>
    </row>
    <row r="68" spans="1:5" x14ac:dyDescent="0.25">
      <c r="A68" s="4" t="s">
        <v>44</v>
      </c>
      <c r="B68" s="4">
        <v>7</v>
      </c>
      <c r="C68" s="4">
        <v>24</v>
      </c>
      <c r="D68" s="4">
        <v>22</v>
      </c>
      <c r="E68" s="4">
        <v>0</v>
      </c>
    </row>
    <row r="69" spans="1:5" x14ac:dyDescent="0.25">
      <c r="A69" s="4" t="s">
        <v>44</v>
      </c>
      <c r="B69" s="4">
        <v>8</v>
      </c>
      <c r="C69" s="4">
        <v>24</v>
      </c>
      <c r="D69" s="4">
        <v>23</v>
      </c>
      <c r="E69" s="4">
        <v>1</v>
      </c>
    </row>
    <row r="70" spans="1:5" x14ac:dyDescent="0.25">
      <c r="A70" s="4" t="s">
        <v>44</v>
      </c>
      <c r="B70" s="4">
        <v>9</v>
      </c>
      <c r="C70" s="4">
        <v>24</v>
      </c>
      <c r="D70" s="4">
        <v>23</v>
      </c>
      <c r="E70" s="4">
        <v>1</v>
      </c>
    </row>
    <row r="71" spans="1:5" x14ac:dyDescent="0.25">
      <c r="A71" s="4" t="s">
        <v>44</v>
      </c>
      <c r="B71" s="4">
        <v>10</v>
      </c>
      <c r="C71" s="4">
        <v>24</v>
      </c>
      <c r="D71" s="4">
        <v>23</v>
      </c>
      <c r="E71" s="4">
        <v>0</v>
      </c>
    </row>
    <row r="72" spans="1:5" x14ac:dyDescent="0.25">
      <c r="A72" s="4" t="s">
        <v>44</v>
      </c>
      <c r="B72" s="4">
        <v>11</v>
      </c>
      <c r="C72" s="4">
        <v>24</v>
      </c>
      <c r="D72" s="4">
        <v>24</v>
      </c>
      <c r="E72" s="4">
        <v>0</v>
      </c>
    </row>
    <row r="73" spans="1:5" x14ac:dyDescent="0.25">
      <c r="A73" s="4" t="s">
        <v>44</v>
      </c>
      <c r="B73" s="4">
        <v>12</v>
      </c>
      <c r="C73" s="4">
        <v>24</v>
      </c>
      <c r="D73" s="4">
        <v>23</v>
      </c>
      <c r="E73" s="4">
        <v>1</v>
      </c>
    </row>
    <row r="74" spans="1:5" x14ac:dyDescent="0.25">
      <c r="A74" s="4" t="s">
        <v>47</v>
      </c>
      <c r="B74" s="4">
        <v>1</v>
      </c>
      <c r="C74" s="4">
        <v>24</v>
      </c>
      <c r="D74" s="4">
        <v>23</v>
      </c>
      <c r="E74" s="4">
        <v>2</v>
      </c>
    </row>
    <row r="75" spans="1:5" x14ac:dyDescent="0.25">
      <c r="A75" s="4" t="s">
        <v>47</v>
      </c>
      <c r="B75" s="4">
        <v>2</v>
      </c>
      <c r="C75" s="4">
        <v>24</v>
      </c>
      <c r="D75" s="4">
        <v>24</v>
      </c>
      <c r="E75" s="4">
        <v>1</v>
      </c>
    </row>
    <row r="76" spans="1:5" x14ac:dyDescent="0.25">
      <c r="A76" s="4" t="s">
        <v>47</v>
      </c>
      <c r="B76" s="4">
        <v>3</v>
      </c>
      <c r="C76" s="4">
        <v>24</v>
      </c>
      <c r="D76" s="4">
        <v>22</v>
      </c>
      <c r="E76" s="4">
        <v>2</v>
      </c>
    </row>
    <row r="77" spans="1:5" x14ac:dyDescent="0.25">
      <c r="A77" s="4" t="s">
        <v>47</v>
      </c>
      <c r="B77" s="4">
        <v>4</v>
      </c>
      <c r="C77" s="4">
        <v>24</v>
      </c>
      <c r="D77" s="4">
        <v>21</v>
      </c>
      <c r="E77" s="4">
        <v>1</v>
      </c>
    </row>
    <row r="78" spans="1:5" x14ac:dyDescent="0.25">
      <c r="A78" s="4" t="s">
        <v>47</v>
      </c>
      <c r="B78" s="4">
        <v>5</v>
      </c>
      <c r="C78" s="4">
        <v>24</v>
      </c>
      <c r="D78" s="4">
        <v>23</v>
      </c>
      <c r="E78" s="4">
        <v>2</v>
      </c>
    </row>
    <row r="79" spans="1:5" x14ac:dyDescent="0.25">
      <c r="A79" s="4" t="s">
        <v>47</v>
      </c>
      <c r="B79" s="4">
        <v>6</v>
      </c>
      <c r="C79" s="4">
        <v>24</v>
      </c>
      <c r="D79" s="4">
        <v>21</v>
      </c>
      <c r="E79" s="4">
        <v>2</v>
      </c>
    </row>
    <row r="80" spans="1:5" x14ac:dyDescent="0.25">
      <c r="A80" s="4" t="s">
        <v>47</v>
      </c>
      <c r="B80" s="4">
        <v>7</v>
      </c>
      <c r="C80" s="4">
        <v>24</v>
      </c>
      <c r="D80" s="4">
        <v>23</v>
      </c>
      <c r="E80" s="4">
        <v>2</v>
      </c>
    </row>
    <row r="81" spans="1:5" x14ac:dyDescent="0.25">
      <c r="A81" s="4" t="s">
        <v>47</v>
      </c>
      <c r="B81" s="4">
        <v>8</v>
      </c>
      <c r="C81" s="4">
        <v>24</v>
      </c>
      <c r="D81" s="4">
        <v>22</v>
      </c>
      <c r="E81" s="4">
        <v>2</v>
      </c>
    </row>
    <row r="82" spans="1:5" x14ac:dyDescent="0.25">
      <c r="A82" s="4" t="s">
        <v>47</v>
      </c>
      <c r="B82" s="4">
        <v>9</v>
      </c>
      <c r="C82" s="4">
        <v>24</v>
      </c>
      <c r="D82" s="4">
        <v>21</v>
      </c>
      <c r="E82" s="4">
        <v>2</v>
      </c>
    </row>
    <row r="83" spans="1:5" x14ac:dyDescent="0.25">
      <c r="A83" s="4" t="s">
        <v>47</v>
      </c>
      <c r="B83" s="4">
        <v>10</v>
      </c>
      <c r="C83" s="4">
        <v>24</v>
      </c>
      <c r="D83" s="4">
        <v>22</v>
      </c>
      <c r="E83" s="4">
        <v>3</v>
      </c>
    </row>
    <row r="84" spans="1:5" x14ac:dyDescent="0.25">
      <c r="A84" s="4" t="s">
        <v>47</v>
      </c>
      <c r="B84" s="4">
        <v>11</v>
      </c>
      <c r="C84" s="4">
        <v>24</v>
      </c>
      <c r="D84" s="4">
        <v>22</v>
      </c>
      <c r="E84" s="4">
        <v>1</v>
      </c>
    </row>
    <row r="85" spans="1:5" x14ac:dyDescent="0.25">
      <c r="A85" s="4" t="s">
        <v>47</v>
      </c>
      <c r="B85" s="4">
        <v>12</v>
      </c>
      <c r="C85" s="4">
        <v>24</v>
      </c>
      <c r="D85" s="4">
        <v>22</v>
      </c>
      <c r="E85" s="4">
        <v>3</v>
      </c>
    </row>
    <row r="86" spans="1:5" x14ac:dyDescent="0.25">
      <c r="A86" s="4" t="s">
        <v>49</v>
      </c>
      <c r="B86" s="4">
        <v>1</v>
      </c>
      <c r="C86" s="4">
        <v>24</v>
      </c>
      <c r="D86" s="4">
        <v>22</v>
      </c>
      <c r="E86" s="4">
        <v>2</v>
      </c>
    </row>
    <row r="87" spans="1:5" x14ac:dyDescent="0.25">
      <c r="A87" s="4" t="s">
        <v>49</v>
      </c>
      <c r="B87" s="4">
        <v>2</v>
      </c>
      <c r="C87" s="4">
        <v>24</v>
      </c>
      <c r="D87" s="4">
        <v>21</v>
      </c>
      <c r="E87" s="4">
        <v>1</v>
      </c>
    </row>
    <row r="88" spans="1:5" x14ac:dyDescent="0.25">
      <c r="A88" s="4" t="s">
        <v>49</v>
      </c>
      <c r="B88" s="4">
        <v>3</v>
      </c>
      <c r="C88" s="4">
        <v>24</v>
      </c>
      <c r="D88" s="4">
        <v>24</v>
      </c>
      <c r="E88" s="4">
        <v>2</v>
      </c>
    </row>
    <row r="89" spans="1:5" x14ac:dyDescent="0.25">
      <c r="A89" s="4" t="s">
        <v>49</v>
      </c>
      <c r="B89" s="4">
        <v>4</v>
      </c>
      <c r="C89" s="4">
        <v>24</v>
      </c>
      <c r="D89" s="4">
        <v>22</v>
      </c>
      <c r="E89" s="4">
        <v>1</v>
      </c>
    </row>
    <row r="90" spans="1:5" x14ac:dyDescent="0.25">
      <c r="A90" s="4" t="s">
        <v>49</v>
      </c>
      <c r="B90" s="4">
        <v>5</v>
      </c>
      <c r="C90" s="4">
        <v>24</v>
      </c>
      <c r="D90" s="4">
        <v>21</v>
      </c>
      <c r="E90" s="4">
        <v>2</v>
      </c>
    </row>
    <row r="91" spans="1:5" x14ac:dyDescent="0.25">
      <c r="A91" s="4" t="s">
        <v>49</v>
      </c>
      <c r="B91" s="4">
        <v>6</v>
      </c>
      <c r="C91" s="4">
        <v>24</v>
      </c>
      <c r="D91" s="4">
        <v>23</v>
      </c>
      <c r="E91" s="4">
        <v>2</v>
      </c>
    </row>
    <row r="92" spans="1:5" x14ac:dyDescent="0.25">
      <c r="A92" s="4" t="s">
        <v>49</v>
      </c>
      <c r="B92" s="4">
        <v>7</v>
      </c>
      <c r="C92" s="4">
        <v>24</v>
      </c>
      <c r="D92" s="4">
        <v>22</v>
      </c>
      <c r="E92" s="4">
        <v>0</v>
      </c>
    </row>
    <row r="93" spans="1:5" x14ac:dyDescent="0.25">
      <c r="A93" s="4" t="s">
        <v>49</v>
      </c>
      <c r="B93" s="4">
        <v>8</v>
      </c>
      <c r="C93" s="4">
        <v>24</v>
      </c>
      <c r="D93" s="4">
        <v>22</v>
      </c>
      <c r="E93" s="4">
        <v>1</v>
      </c>
    </row>
    <row r="94" spans="1:5" x14ac:dyDescent="0.25">
      <c r="A94" s="4" t="s">
        <v>49</v>
      </c>
      <c r="B94" s="4">
        <v>9</v>
      </c>
      <c r="C94" s="4">
        <v>24</v>
      </c>
      <c r="D94" s="4">
        <v>23</v>
      </c>
      <c r="E94" s="4">
        <v>2</v>
      </c>
    </row>
    <row r="95" spans="1:5" x14ac:dyDescent="0.25">
      <c r="A95" s="4" t="s">
        <v>49</v>
      </c>
      <c r="B95" s="4">
        <v>10</v>
      </c>
      <c r="C95" s="4">
        <v>24</v>
      </c>
      <c r="D95" s="4">
        <v>22</v>
      </c>
      <c r="E95" s="4">
        <v>1</v>
      </c>
    </row>
    <row r="96" spans="1:5" x14ac:dyDescent="0.25">
      <c r="A96" s="4" t="s">
        <v>49</v>
      </c>
      <c r="B96" s="4">
        <v>11</v>
      </c>
      <c r="C96" s="4">
        <v>24</v>
      </c>
      <c r="D96" s="4">
        <v>22</v>
      </c>
      <c r="E96" s="4">
        <v>2</v>
      </c>
    </row>
    <row r="97" spans="1:5" x14ac:dyDescent="0.25">
      <c r="A97" s="4" t="s">
        <v>49</v>
      </c>
      <c r="B97" s="4">
        <v>12</v>
      </c>
      <c r="C97" s="4">
        <v>24</v>
      </c>
      <c r="D97" s="4">
        <v>23</v>
      </c>
      <c r="E97" s="4">
        <v>2</v>
      </c>
    </row>
    <row r="98" spans="1:5" x14ac:dyDescent="0.25">
      <c r="A98" s="4" t="s">
        <v>52</v>
      </c>
      <c r="B98" s="4">
        <v>1</v>
      </c>
      <c r="C98" s="4">
        <v>24</v>
      </c>
      <c r="D98" s="4">
        <v>23</v>
      </c>
      <c r="E98" s="4">
        <v>1</v>
      </c>
    </row>
    <row r="99" spans="1:5" x14ac:dyDescent="0.25">
      <c r="A99" s="4" t="s">
        <v>52</v>
      </c>
      <c r="B99" s="4">
        <v>2</v>
      </c>
      <c r="C99" s="4">
        <v>24</v>
      </c>
      <c r="D99" s="4">
        <v>24</v>
      </c>
      <c r="E99" s="4">
        <v>1</v>
      </c>
    </row>
    <row r="100" spans="1:5" x14ac:dyDescent="0.25">
      <c r="A100" s="4" t="s">
        <v>52</v>
      </c>
      <c r="B100" s="4">
        <v>3</v>
      </c>
      <c r="C100" s="4">
        <v>24</v>
      </c>
      <c r="D100" s="4">
        <v>23</v>
      </c>
      <c r="E100" s="4">
        <v>0</v>
      </c>
    </row>
    <row r="101" spans="1:5" x14ac:dyDescent="0.25">
      <c r="A101" s="4" t="s">
        <v>52</v>
      </c>
      <c r="B101" s="4">
        <v>4</v>
      </c>
      <c r="C101" s="4">
        <v>24</v>
      </c>
      <c r="D101" s="4">
        <v>22</v>
      </c>
      <c r="E101" s="4">
        <v>0</v>
      </c>
    </row>
    <row r="102" spans="1:5" x14ac:dyDescent="0.25">
      <c r="A102" s="4" t="s">
        <v>52</v>
      </c>
      <c r="B102" s="4">
        <v>5</v>
      </c>
      <c r="C102" s="4">
        <v>24</v>
      </c>
      <c r="D102" s="4">
        <v>22</v>
      </c>
      <c r="E102" s="4">
        <v>0</v>
      </c>
    </row>
    <row r="103" spans="1:5" x14ac:dyDescent="0.25">
      <c r="A103" s="4" t="s">
        <v>52</v>
      </c>
      <c r="B103" s="4">
        <v>6</v>
      </c>
      <c r="C103" s="4">
        <v>24</v>
      </c>
      <c r="D103" s="4">
        <v>23</v>
      </c>
      <c r="E103" s="4">
        <v>0</v>
      </c>
    </row>
    <row r="104" spans="1:5" x14ac:dyDescent="0.25">
      <c r="A104" s="4" t="s">
        <v>52</v>
      </c>
      <c r="B104" s="4">
        <v>7</v>
      </c>
      <c r="C104" s="4">
        <v>24</v>
      </c>
      <c r="D104" s="4">
        <v>24</v>
      </c>
      <c r="E104" s="4">
        <v>0</v>
      </c>
    </row>
    <row r="105" spans="1:5" x14ac:dyDescent="0.25">
      <c r="A105" s="4" t="s">
        <v>52</v>
      </c>
      <c r="B105" s="4">
        <v>8</v>
      </c>
      <c r="C105" s="4">
        <v>24</v>
      </c>
      <c r="D105" s="4">
        <v>23</v>
      </c>
      <c r="E105" s="4">
        <v>0</v>
      </c>
    </row>
    <row r="106" spans="1:5" x14ac:dyDescent="0.25">
      <c r="A106" s="4" t="s">
        <v>52</v>
      </c>
      <c r="B106" s="4">
        <v>9</v>
      </c>
      <c r="C106" s="4">
        <v>24</v>
      </c>
      <c r="D106" s="4">
        <v>24</v>
      </c>
      <c r="E106" s="4">
        <v>1</v>
      </c>
    </row>
    <row r="107" spans="1:5" x14ac:dyDescent="0.25">
      <c r="A107" s="4" t="s">
        <v>52</v>
      </c>
      <c r="B107" s="4">
        <v>10</v>
      </c>
      <c r="C107" s="4">
        <v>24</v>
      </c>
      <c r="D107" s="4">
        <v>23</v>
      </c>
      <c r="E107" s="4">
        <v>1</v>
      </c>
    </row>
    <row r="108" spans="1:5" x14ac:dyDescent="0.25">
      <c r="A108" s="4" t="s">
        <v>52</v>
      </c>
      <c r="B108" s="4">
        <v>11</v>
      </c>
      <c r="C108" s="4">
        <v>24</v>
      </c>
      <c r="D108" s="4">
        <v>24</v>
      </c>
      <c r="E108" s="4">
        <v>1</v>
      </c>
    </row>
    <row r="109" spans="1:5" x14ac:dyDescent="0.25">
      <c r="A109" s="4" t="s">
        <v>52</v>
      </c>
      <c r="B109" s="4">
        <v>12</v>
      </c>
      <c r="C109" s="4">
        <v>24</v>
      </c>
      <c r="D109" s="4">
        <v>22</v>
      </c>
      <c r="E109" s="4">
        <v>0</v>
      </c>
    </row>
    <row r="110" spans="1:5" x14ac:dyDescent="0.25">
      <c r="A110" s="4" t="s">
        <v>56</v>
      </c>
      <c r="B110" s="4">
        <v>1</v>
      </c>
      <c r="C110" s="4">
        <v>24</v>
      </c>
      <c r="D110" s="4">
        <v>23</v>
      </c>
      <c r="E110" s="4">
        <v>1</v>
      </c>
    </row>
    <row r="111" spans="1:5" x14ac:dyDescent="0.25">
      <c r="A111" s="4" t="s">
        <v>56</v>
      </c>
      <c r="B111" s="4">
        <v>2</v>
      </c>
      <c r="C111" s="4">
        <v>24</v>
      </c>
      <c r="D111" s="4">
        <v>22</v>
      </c>
      <c r="E111" s="4">
        <v>2</v>
      </c>
    </row>
    <row r="112" spans="1:5" x14ac:dyDescent="0.25">
      <c r="A112" s="4" t="s">
        <v>56</v>
      </c>
      <c r="B112" s="4">
        <v>3</v>
      </c>
      <c r="C112" s="4">
        <v>24</v>
      </c>
      <c r="D112" s="4">
        <v>21</v>
      </c>
      <c r="E112" s="4">
        <v>1</v>
      </c>
    </row>
    <row r="113" spans="1:5" x14ac:dyDescent="0.25">
      <c r="A113" s="4" t="s">
        <v>56</v>
      </c>
      <c r="B113" s="4">
        <v>4</v>
      </c>
      <c r="C113" s="4">
        <v>24</v>
      </c>
      <c r="D113" s="4">
        <v>24</v>
      </c>
      <c r="E113" s="4">
        <v>1</v>
      </c>
    </row>
    <row r="114" spans="1:5" x14ac:dyDescent="0.25">
      <c r="A114" s="4" t="s">
        <v>56</v>
      </c>
      <c r="B114" s="4">
        <v>5</v>
      </c>
      <c r="C114" s="4">
        <v>24</v>
      </c>
      <c r="D114" s="4">
        <v>21</v>
      </c>
      <c r="E114" s="4">
        <v>2</v>
      </c>
    </row>
    <row r="115" spans="1:5" x14ac:dyDescent="0.25">
      <c r="A115" s="4" t="s">
        <v>56</v>
      </c>
      <c r="B115" s="4">
        <v>6</v>
      </c>
      <c r="C115" s="4">
        <v>24</v>
      </c>
      <c r="D115" s="4">
        <v>24</v>
      </c>
      <c r="E115" s="4">
        <v>1</v>
      </c>
    </row>
    <row r="116" spans="1:5" x14ac:dyDescent="0.25">
      <c r="A116" s="4" t="s">
        <v>56</v>
      </c>
      <c r="B116" s="4">
        <v>7</v>
      </c>
      <c r="C116" s="4">
        <v>24</v>
      </c>
      <c r="D116" s="4">
        <v>21</v>
      </c>
      <c r="E116" s="4">
        <v>3</v>
      </c>
    </row>
    <row r="117" spans="1:5" x14ac:dyDescent="0.25">
      <c r="A117" s="4" t="s">
        <v>56</v>
      </c>
      <c r="B117" s="4">
        <v>8</v>
      </c>
      <c r="C117" s="4">
        <v>24</v>
      </c>
      <c r="D117" s="4">
        <v>21</v>
      </c>
      <c r="E117" s="4">
        <v>2</v>
      </c>
    </row>
    <row r="118" spans="1:5" x14ac:dyDescent="0.25">
      <c r="A118" s="4" t="s">
        <v>56</v>
      </c>
      <c r="B118" s="4">
        <v>9</v>
      </c>
      <c r="C118" s="4">
        <v>24</v>
      </c>
      <c r="D118" s="4">
        <v>23</v>
      </c>
      <c r="E118" s="4">
        <v>1</v>
      </c>
    </row>
    <row r="119" spans="1:5" x14ac:dyDescent="0.25">
      <c r="A119" s="4" t="s">
        <v>56</v>
      </c>
      <c r="B119" s="4">
        <v>10</v>
      </c>
      <c r="C119" s="4">
        <v>24</v>
      </c>
      <c r="D119" s="4">
        <v>22</v>
      </c>
      <c r="E119" s="4">
        <v>2</v>
      </c>
    </row>
    <row r="120" spans="1:5" x14ac:dyDescent="0.25">
      <c r="A120" s="4" t="s">
        <v>56</v>
      </c>
      <c r="B120" s="4">
        <v>11</v>
      </c>
      <c r="C120" s="4">
        <v>24</v>
      </c>
      <c r="D120" s="4">
        <v>21</v>
      </c>
      <c r="E120" s="4">
        <v>1</v>
      </c>
    </row>
    <row r="121" spans="1:5" x14ac:dyDescent="0.25">
      <c r="A121" s="4" t="s">
        <v>56</v>
      </c>
      <c r="B121" s="4">
        <v>12</v>
      </c>
      <c r="C121" s="4">
        <v>24</v>
      </c>
      <c r="D121" s="4">
        <v>23</v>
      </c>
      <c r="E121" s="4">
        <v>1</v>
      </c>
    </row>
    <row r="122" spans="1:5" x14ac:dyDescent="0.25">
      <c r="A122" s="4" t="s">
        <v>58</v>
      </c>
      <c r="B122" s="4">
        <v>1</v>
      </c>
      <c r="C122" s="4">
        <v>24</v>
      </c>
      <c r="D122" s="4">
        <v>24</v>
      </c>
      <c r="E122" s="4">
        <v>1</v>
      </c>
    </row>
    <row r="123" spans="1:5" x14ac:dyDescent="0.25">
      <c r="A123" s="4" t="s">
        <v>58</v>
      </c>
      <c r="B123" s="4">
        <v>2</v>
      </c>
      <c r="C123" s="4">
        <v>24</v>
      </c>
      <c r="D123" s="4">
        <v>24</v>
      </c>
      <c r="E123" s="4">
        <v>1</v>
      </c>
    </row>
    <row r="124" spans="1:5" x14ac:dyDescent="0.25">
      <c r="A124" s="4" t="s">
        <v>58</v>
      </c>
      <c r="B124" s="4">
        <v>3</v>
      </c>
      <c r="C124" s="4">
        <v>24</v>
      </c>
      <c r="D124" s="4">
        <v>22</v>
      </c>
      <c r="E124" s="4">
        <v>1</v>
      </c>
    </row>
    <row r="125" spans="1:5" x14ac:dyDescent="0.25">
      <c r="A125" s="4" t="s">
        <v>58</v>
      </c>
      <c r="B125" s="4">
        <v>4</v>
      </c>
      <c r="C125" s="4">
        <v>24</v>
      </c>
      <c r="D125" s="4">
        <v>22</v>
      </c>
      <c r="E125" s="4">
        <v>1</v>
      </c>
    </row>
    <row r="126" spans="1:5" x14ac:dyDescent="0.25">
      <c r="A126" s="4" t="s">
        <v>58</v>
      </c>
      <c r="B126" s="4">
        <v>5</v>
      </c>
      <c r="C126" s="4">
        <v>24</v>
      </c>
      <c r="D126" s="4">
        <v>22</v>
      </c>
      <c r="E126" s="4">
        <v>1</v>
      </c>
    </row>
    <row r="127" spans="1:5" x14ac:dyDescent="0.25">
      <c r="A127" s="4" t="s">
        <v>58</v>
      </c>
      <c r="B127" s="4">
        <v>6</v>
      </c>
      <c r="C127" s="4">
        <v>24</v>
      </c>
      <c r="D127" s="4">
        <v>22</v>
      </c>
      <c r="E127" s="4">
        <v>2</v>
      </c>
    </row>
    <row r="128" spans="1:5" x14ac:dyDescent="0.25">
      <c r="A128" s="4" t="s">
        <v>58</v>
      </c>
      <c r="B128" s="4">
        <v>7</v>
      </c>
      <c r="C128" s="4">
        <v>24</v>
      </c>
      <c r="D128" s="4">
        <v>21</v>
      </c>
      <c r="E128" s="4">
        <v>2</v>
      </c>
    </row>
    <row r="129" spans="1:5" x14ac:dyDescent="0.25">
      <c r="A129" s="4" t="s">
        <v>58</v>
      </c>
      <c r="B129" s="4">
        <v>8</v>
      </c>
      <c r="C129" s="4">
        <v>24</v>
      </c>
      <c r="D129" s="4">
        <v>19</v>
      </c>
      <c r="E129" s="4">
        <v>2</v>
      </c>
    </row>
    <row r="130" spans="1:5" x14ac:dyDescent="0.25">
      <c r="A130" s="4" t="s">
        <v>58</v>
      </c>
      <c r="B130" s="4">
        <v>9</v>
      </c>
      <c r="C130" s="4">
        <v>24</v>
      </c>
      <c r="D130" s="4">
        <v>21</v>
      </c>
      <c r="E130" s="4">
        <v>2</v>
      </c>
    </row>
    <row r="131" spans="1:5" x14ac:dyDescent="0.25">
      <c r="A131" s="4" t="s">
        <v>58</v>
      </c>
      <c r="B131" s="4">
        <v>10</v>
      </c>
      <c r="C131" s="4">
        <v>24</v>
      </c>
      <c r="D131" s="4">
        <v>21</v>
      </c>
      <c r="E131" s="4">
        <v>3</v>
      </c>
    </row>
    <row r="132" spans="1:5" x14ac:dyDescent="0.25">
      <c r="A132" s="4" t="s">
        <v>58</v>
      </c>
      <c r="B132" s="4">
        <v>11</v>
      </c>
      <c r="C132" s="4">
        <v>24</v>
      </c>
      <c r="D132" s="4">
        <v>20</v>
      </c>
      <c r="E132" s="4">
        <v>2</v>
      </c>
    </row>
    <row r="133" spans="1:5" x14ac:dyDescent="0.25">
      <c r="A133" s="4" t="s">
        <v>58</v>
      </c>
      <c r="B133" s="4">
        <v>12</v>
      </c>
      <c r="C133" s="4">
        <v>24</v>
      </c>
      <c r="D133" s="4">
        <v>20</v>
      </c>
      <c r="E133" s="4">
        <v>3</v>
      </c>
    </row>
    <row r="134" spans="1:5" x14ac:dyDescent="0.25">
      <c r="A134" s="4" t="s">
        <v>61</v>
      </c>
      <c r="B134" s="4">
        <v>1</v>
      </c>
      <c r="C134" s="4">
        <v>24</v>
      </c>
      <c r="D134" s="4">
        <v>21</v>
      </c>
      <c r="E134" s="4">
        <v>0</v>
      </c>
    </row>
    <row r="135" spans="1:5" x14ac:dyDescent="0.25">
      <c r="A135" s="4" t="s">
        <v>61</v>
      </c>
      <c r="B135" s="4">
        <v>2</v>
      </c>
      <c r="C135" s="4">
        <v>24</v>
      </c>
      <c r="D135" s="4">
        <v>24</v>
      </c>
      <c r="E135" s="4">
        <v>0</v>
      </c>
    </row>
    <row r="136" spans="1:5" x14ac:dyDescent="0.25">
      <c r="A136" s="4" t="s">
        <v>61</v>
      </c>
      <c r="B136" s="4">
        <v>3</v>
      </c>
      <c r="C136" s="4">
        <v>24</v>
      </c>
      <c r="D136" s="4">
        <v>22</v>
      </c>
      <c r="E136" s="4">
        <v>1</v>
      </c>
    </row>
    <row r="137" spans="1:5" x14ac:dyDescent="0.25">
      <c r="A137" s="4" t="s">
        <v>61</v>
      </c>
      <c r="B137" s="4">
        <v>4</v>
      </c>
      <c r="C137" s="4">
        <v>24</v>
      </c>
      <c r="D137" s="4">
        <v>22</v>
      </c>
      <c r="E137" s="4">
        <v>1</v>
      </c>
    </row>
    <row r="138" spans="1:5" x14ac:dyDescent="0.25">
      <c r="A138" s="4" t="s">
        <v>61</v>
      </c>
      <c r="B138" s="4">
        <v>5</v>
      </c>
      <c r="C138" s="4">
        <v>24</v>
      </c>
      <c r="D138" s="4">
        <v>23</v>
      </c>
      <c r="E138" s="4">
        <v>0</v>
      </c>
    </row>
    <row r="139" spans="1:5" x14ac:dyDescent="0.25">
      <c r="A139" s="4" t="s">
        <v>61</v>
      </c>
      <c r="B139" s="4">
        <v>6</v>
      </c>
      <c r="C139" s="4">
        <v>24</v>
      </c>
      <c r="D139" s="4">
        <v>22</v>
      </c>
      <c r="E139" s="4">
        <v>2</v>
      </c>
    </row>
    <row r="140" spans="1:5" x14ac:dyDescent="0.25">
      <c r="A140" s="4" t="s">
        <v>61</v>
      </c>
      <c r="B140" s="4">
        <v>7</v>
      </c>
      <c r="C140" s="4">
        <v>24</v>
      </c>
      <c r="D140" s="4">
        <v>21</v>
      </c>
      <c r="E140" s="4">
        <v>2</v>
      </c>
    </row>
    <row r="141" spans="1:5" x14ac:dyDescent="0.25">
      <c r="A141" s="4" t="s">
        <v>61</v>
      </c>
      <c r="B141" s="4">
        <v>8</v>
      </c>
      <c r="C141" s="4">
        <v>24</v>
      </c>
      <c r="D141" s="4">
        <v>22</v>
      </c>
      <c r="E141" s="4">
        <v>3</v>
      </c>
    </row>
    <row r="142" spans="1:5" x14ac:dyDescent="0.25">
      <c r="A142" s="4" t="s">
        <v>61</v>
      </c>
      <c r="B142" s="4">
        <v>9</v>
      </c>
      <c r="C142" s="4">
        <v>24</v>
      </c>
      <c r="D142" s="4">
        <v>22</v>
      </c>
      <c r="E142" s="4">
        <v>1</v>
      </c>
    </row>
    <row r="143" spans="1:5" x14ac:dyDescent="0.25">
      <c r="A143" s="4" t="s">
        <v>61</v>
      </c>
      <c r="B143" s="4">
        <v>10</v>
      </c>
      <c r="C143" s="4">
        <v>24</v>
      </c>
      <c r="D143" s="4">
        <v>23</v>
      </c>
      <c r="E143" s="4">
        <v>1</v>
      </c>
    </row>
    <row r="144" spans="1:5" x14ac:dyDescent="0.25">
      <c r="A144" s="4" t="s">
        <v>61</v>
      </c>
      <c r="B144" s="4">
        <v>11</v>
      </c>
      <c r="C144" s="4">
        <v>24</v>
      </c>
      <c r="D144" s="4">
        <v>24</v>
      </c>
      <c r="E144" s="4">
        <v>2</v>
      </c>
    </row>
    <row r="145" spans="1:5" x14ac:dyDescent="0.25">
      <c r="A145" s="4" t="s">
        <v>61</v>
      </c>
      <c r="B145" s="4">
        <v>12</v>
      </c>
      <c r="C145" s="4">
        <v>24</v>
      </c>
      <c r="D145" s="4">
        <v>22</v>
      </c>
      <c r="E145" s="4">
        <v>1</v>
      </c>
    </row>
    <row r="146" spans="1:5" x14ac:dyDescent="0.25">
      <c r="A146" s="4" t="s">
        <v>63</v>
      </c>
      <c r="B146" s="4">
        <v>1</v>
      </c>
      <c r="C146" s="4">
        <v>24</v>
      </c>
      <c r="D146" s="4">
        <v>24</v>
      </c>
      <c r="E146" s="4">
        <v>1</v>
      </c>
    </row>
    <row r="147" spans="1:5" x14ac:dyDescent="0.25">
      <c r="A147" s="4" t="s">
        <v>63</v>
      </c>
      <c r="B147" s="4">
        <v>2</v>
      </c>
      <c r="C147" s="4">
        <v>24</v>
      </c>
      <c r="D147" s="4">
        <v>22</v>
      </c>
      <c r="E147" s="4">
        <v>0</v>
      </c>
    </row>
    <row r="148" spans="1:5" x14ac:dyDescent="0.25">
      <c r="A148" s="4" t="s">
        <v>63</v>
      </c>
      <c r="B148" s="4">
        <v>3</v>
      </c>
      <c r="C148" s="4">
        <v>24</v>
      </c>
      <c r="D148" s="4">
        <v>24</v>
      </c>
      <c r="E148" s="4">
        <v>0</v>
      </c>
    </row>
    <row r="149" spans="1:5" x14ac:dyDescent="0.25">
      <c r="A149" s="4" t="s">
        <v>63</v>
      </c>
      <c r="B149" s="4">
        <v>4</v>
      </c>
      <c r="C149" s="4">
        <v>24</v>
      </c>
      <c r="D149" s="4">
        <v>23</v>
      </c>
      <c r="E149" s="4">
        <v>0</v>
      </c>
    </row>
    <row r="150" spans="1:5" x14ac:dyDescent="0.25">
      <c r="A150" s="4" t="s">
        <v>63</v>
      </c>
      <c r="B150" s="4">
        <v>5</v>
      </c>
      <c r="C150" s="4">
        <v>24</v>
      </c>
      <c r="D150" s="4">
        <v>23</v>
      </c>
      <c r="E150" s="4">
        <v>0</v>
      </c>
    </row>
    <row r="151" spans="1:5" x14ac:dyDescent="0.25">
      <c r="A151" s="4" t="s">
        <v>63</v>
      </c>
      <c r="B151" s="4">
        <v>6</v>
      </c>
      <c r="C151" s="4">
        <v>24</v>
      </c>
      <c r="D151" s="4">
        <v>22</v>
      </c>
      <c r="E151" s="4">
        <v>1</v>
      </c>
    </row>
    <row r="152" spans="1:5" x14ac:dyDescent="0.25">
      <c r="A152" s="4" t="s">
        <v>63</v>
      </c>
      <c r="B152" s="4">
        <v>7</v>
      </c>
      <c r="C152" s="4">
        <v>24</v>
      </c>
      <c r="D152" s="4">
        <v>23</v>
      </c>
      <c r="E152" s="4">
        <v>0</v>
      </c>
    </row>
    <row r="153" spans="1:5" x14ac:dyDescent="0.25">
      <c r="A153" s="4" t="s">
        <v>63</v>
      </c>
      <c r="B153" s="4">
        <v>8</v>
      </c>
      <c r="C153" s="4">
        <v>24</v>
      </c>
      <c r="D153" s="4">
        <v>23</v>
      </c>
      <c r="E153" s="4">
        <v>0</v>
      </c>
    </row>
    <row r="154" spans="1:5" x14ac:dyDescent="0.25">
      <c r="A154" s="4" t="s">
        <v>63</v>
      </c>
      <c r="B154" s="4">
        <v>9</v>
      </c>
      <c r="C154" s="4">
        <v>24</v>
      </c>
      <c r="D154" s="4">
        <v>23</v>
      </c>
      <c r="E154" s="4">
        <v>1</v>
      </c>
    </row>
    <row r="155" spans="1:5" x14ac:dyDescent="0.25">
      <c r="A155" s="4" t="s">
        <v>63</v>
      </c>
      <c r="B155" s="4">
        <v>10</v>
      </c>
      <c r="C155" s="4">
        <v>24</v>
      </c>
      <c r="D155" s="4">
        <v>24</v>
      </c>
      <c r="E155" s="4">
        <v>1</v>
      </c>
    </row>
    <row r="156" spans="1:5" x14ac:dyDescent="0.25">
      <c r="A156" s="4" t="s">
        <v>63</v>
      </c>
      <c r="B156" s="4">
        <v>11</v>
      </c>
      <c r="C156" s="4">
        <v>24</v>
      </c>
      <c r="D156" s="4">
        <v>23</v>
      </c>
      <c r="E156" s="4">
        <v>0</v>
      </c>
    </row>
    <row r="157" spans="1:5" x14ac:dyDescent="0.25">
      <c r="A157" s="4" t="s">
        <v>63</v>
      </c>
      <c r="B157" s="4">
        <v>12</v>
      </c>
      <c r="C157" s="4">
        <v>24</v>
      </c>
      <c r="D157" s="4">
        <v>23</v>
      </c>
      <c r="E157" s="4">
        <v>0</v>
      </c>
    </row>
    <row r="158" spans="1:5" x14ac:dyDescent="0.25">
      <c r="A158" s="4" t="s">
        <v>66</v>
      </c>
      <c r="B158" s="4">
        <v>1</v>
      </c>
      <c r="C158" s="4">
        <v>24</v>
      </c>
      <c r="D158" s="4">
        <v>19</v>
      </c>
      <c r="E158" s="4">
        <v>4</v>
      </c>
    </row>
    <row r="159" spans="1:5" x14ac:dyDescent="0.25">
      <c r="A159" s="4" t="s">
        <v>66</v>
      </c>
      <c r="B159" s="4">
        <v>2</v>
      </c>
      <c r="C159" s="4">
        <v>24</v>
      </c>
      <c r="D159" s="4">
        <v>19</v>
      </c>
      <c r="E159" s="4">
        <v>1</v>
      </c>
    </row>
    <row r="160" spans="1:5" x14ac:dyDescent="0.25">
      <c r="A160" s="4" t="s">
        <v>66</v>
      </c>
      <c r="B160" s="4">
        <v>3</v>
      </c>
      <c r="C160" s="4">
        <v>24</v>
      </c>
      <c r="D160" s="4">
        <v>21</v>
      </c>
      <c r="E160" s="4">
        <v>4</v>
      </c>
    </row>
    <row r="161" spans="1:5" x14ac:dyDescent="0.25">
      <c r="A161" s="4" t="s">
        <v>66</v>
      </c>
      <c r="B161" s="4">
        <v>4</v>
      </c>
      <c r="C161" s="4">
        <v>24</v>
      </c>
      <c r="D161" s="4">
        <v>18</v>
      </c>
      <c r="E161" s="4">
        <v>6</v>
      </c>
    </row>
    <row r="162" spans="1:5" x14ac:dyDescent="0.25">
      <c r="A162" s="4" t="s">
        <v>66</v>
      </c>
      <c r="B162" s="4">
        <v>5</v>
      </c>
      <c r="C162" s="4">
        <v>24</v>
      </c>
      <c r="D162" s="4">
        <v>17</v>
      </c>
      <c r="E162" s="4">
        <v>1</v>
      </c>
    </row>
    <row r="163" spans="1:5" x14ac:dyDescent="0.25">
      <c r="A163" s="4" t="s">
        <v>66</v>
      </c>
      <c r="B163" s="4">
        <v>6</v>
      </c>
      <c r="C163" s="4">
        <v>24</v>
      </c>
      <c r="D163" s="4">
        <v>18</v>
      </c>
      <c r="E163" s="4">
        <v>1</v>
      </c>
    </row>
    <row r="164" spans="1:5" x14ac:dyDescent="0.25">
      <c r="A164" s="4" t="s">
        <v>66</v>
      </c>
      <c r="B164" s="4">
        <v>7</v>
      </c>
      <c r="C164" s="4">
        <v>24</v>
      </c>
      <c r="D164" s="4">
        <v>17</v>
      </c>
      <c r="E164" s="4">
        <v>4</v>
      </c>
    </row>
    <row r="165" spans="1:5" x14ac:dyDescent="0.25">
      <c r="A165" s="4" t="s">
        <v>66</v>
      </c>
      <c r="B165" s="4">
        <v>8</v>
      </c>
      <c r="C165" s="4">
        <v>24</v>
      </c>
      <c r="D165" s="4">
        <v>21</v>
      </c>
      <c r="E165" s="4">
        <v>6</v>
      </c>
    </row>
    <row r="166" spans="1:5" x14ac:dyDescent="0.25">
      <c r="A166" s="4" t="s">
        <v>66</v>
      </c>
      <c r="B166" s="4">
        <v>9</v>
      </c>
      <c r="C166" s="4">
        <v>24</v>
      </c>
      <c r="D166" s="4">
        <v>19</v>
      </c>
      <c r="E166" s="4">
        <v>1</v>
      </c>
    </row>
    <row r="167" spans="1:5" x14ac:dyDescent="0.25">
      <c r="A167" s="4" t="s">
        <v>66</v>
      </c>
      <c r="B167" s="4">
        <v>10</v>
      </c>
      <c r="C167" s="4">
        <v>24</v>
      </c>
      <c r="D167" s="4">
        <v>19</v>
      </c>
      <c r="E167" s="4">
        <v>3</v>
      </c>
    </row>
    <row r="168" spans="1:5" x14ac:dyDescent="0.25">
      <c r="A168" s="4" t="s">
        <v>66</v>
      </c>
      <c r="B168" s="4">
        <v>11</v>
      </c>
      <c r="C168" s="4">
        <v>24</v>
      </c>
      <c r="D168" s="4">
        <v>19</v>
      </c>
      <c r="E168" s="4">
        <v>3</v>
      </c>
    </row>
    <row r="169" spans="1:5" x14ac:dyDescent="0.25">
      <c r="A169" s="4" t="s">
        <v>66</v>
      </c>
      <c r="B169" s="4">
        <v>12</v>
      </c>
      <c r="C169" s="4">
        <v>24</v>
      </c>
      <c r="D169" s="4">
        <v>17</v>
      </c>
      <c r="E169" s="4">
        <v>2</v>
      </c>
    </row>
    <row r="170" spans="1:5" x14ac:dyDescent="0.25">
      <c r="A170" s="4" t="s">
        <v>68</v>
      </c>
      <c r="B170" s="4">
        <v>1</v>
      </c>
      <c r="C170" s="4">
        <v>24</v>
      </c>
      <c r="D170" s="4">
        <v>22</v>
      </c>
      <c r="E170" s="4">
        <v>3</v>
      </c>
    </row>
    <row r="171" spans="1:5" x14ac:dyDescent="0.25">
      <c r="A171" s="4" t="s">
        <v>68</v>
      </c>
      <c r="B171" s="4">
        <v>2</v>
      </c>
      <c r="C171" s="4">
        <v>24</v>
      </c>
      <c r="D171" s="4">
        <v>23</v>
      </c>
      <c r="E171" s="4">
        <v>2</v>
      </c>
    </row>
    <row r="172" spans="1:5" x14ac:dyDescent="0.25">
      <c r="A172" s="4" t="s">
        <v>68</v>
      </c>
      <c r="B172" s="4">
        <v>3</v>
      </c>
      <c r="C172" s="4">
        <v>24</v>
      </c>
      <c r="D172" s="4">
        <v>22</v>
      </c>
      <c r="E172" s="4">
        <v>1</v>
      </c>
    </row>
    <row r="173" spans="1:5" x14ac:dyDescent="0.25">
      <c r="A173" s="4" t="s">
        <v>68</v>
      </c>
      <c r="B173" s="4">
        <v>4</v>
      </c>
      <c r="C173" s="4">
        <v>24</v>
      </c>
      <c r="D173" s="4">
        <v>21</v>
      </c>
      <c r="E173" s="4">
        <v>2</v>
      </c>
    </row>
    <row r="174" spans="1:5" x14ac:dyDescent="0.25">
      <c r="A174" s="4" t="s">
        <v>68</v>
      </c>
      <c r="B174" s="4">
        <v>5</v>
      </c>
      <c r="C174" s="4">
        <v>24</v>
      </c>
      <c r="D174" s="4">
        <v>23</v>
      </c>
      <c r="E174" s="4">
        <v>3</v>
      </c>
    </row>
    <row r="175" spans="1:5" x14ac:dyDescent="0.25">
      <c r="A175" s="4" t="s">
        <v>68</v>
      </c>
      <c r="B175" s="4">
        <v>6</v>
      </c>
      <c r="C175" s="4">
        <v>24</v>
      </c>
      <c r="D175" s="4">
        <v>21</v>
      </c>
      <c r="E175" s="4">
        <v>1</v>
      </c>
    </row>
    <row r="176" spans="1:5" x14ac:dyDescent="0.25">
      <c r="A176" s="4" t="s">
        <v>68</v>
      </c>
      <c r="B176" s="4">
        <v>7</v>
      </c>
      <c r="C176" s="4">
        <v>24</v>
      </c>
      <c r="D176" s="4">
        <v>23</v>
      </c>
      <c r="E176" s="4">
        <v>1</v>
      </c>
    </row>
    <row r="177" spans="1:5" x14ac:dyDescent="0.25">
      <c r="A177" s="4" t="s">
        <v>68</v>
      </c>
      <c r="B177" s="4">
        <v>8</v>
      </c>
      <c r="C177" s="4">
        <v>24</v>
      </c>
      <c r="D177" s="4">
        <v>21</v>
      </c>
      <c r="E177" s="4">
        <v>1</v>
      </c>
    </row>
    <row r="178" spans="1:5" x14ac:dyDescent="0.25">
      <c r="A178" s="4" t="s">
        <v>68</v>
      </c>
      <c r="B178" s="4">
        <v>9</v>
      </c>
      <c r="C178" s="4">
        <v>24</v>
      </c>
      <c r="D178" s="4">
        <v>22</v>
      </c>
      <c r="E178" s="4">
        <v>1</v>
      </c>
    </row>
    <row r="179" spans="1:5" x14ac:dyDescent="0.25">
      <c r="A179" s="4" t="s">
        <v>68</v>
      </c>
      <c r="B179" s="4">
        <v>10</v>
      </c>
      <c r="C179" s="4">
        <v>24</v>
      </c>
      <c r="D179" s="4">
        <v>21</v>
      </c>
      <c r="E179" s="4">
        <v>1</v>
      </c>
    </row>
    <row r="180" spans="1:5" x14ac:dyDescent="0.25">
      <c r="A180" s="4" t="s">
        <v>68</v>
      </c>
      <c r="B180" s="4">
        <v>11</v>
      </c>
      <c r="C180" s="4">
        <v>24</v>
      </c>
      <c r="D180" s="4">
        <v>21</v>
      </c>
      <c r="E180" s="4">
        <v>1</v>
      </c>
    </row>
    <row r="181" spans="1:5" x14ac:dyDescent="0.25">
      <c r="A181" s="4" t="s">
        <v>68</v>
      </c>
      <c r="B181" s="4">
        <v>12</v>
      </c>
      <c r="C181" s="4">
        <v>24</v>
      </c>
      <c r="D181" s="4">
        <v>21</v>
      </c>
      <c r="E181" s="4">
        <v>2</v>
      </c>
    </row>
    <row r="182" spans="1:5" x14ac:dyDescent="0.25">
      <c r="A182" s="4" t="s">
        <v>72</v>
      </c>
      <c r="B182" s="4">
        <v>1</v>
      </c>
      <c r="C182" s="4">
        <v>24</v>
      </c>
      <c r="D182" s="4">
        <v>20</v>
      </c>
      <c r="E182" s="4">
        <v>2</v>
      </c>
    </row>
    <row r="183" spans="1:5" x14ac:dyDescent="0.25">
      <c r="A183" s="4" t="s">
        <v>72</v>
      </c>
      <c r="B183" s="4">
        <v>2</v>
      </c>
      <c r="C183" s="4">
        <v>24</v>
      </c>
      <c r="D183" s="4">
        <v>21</v>
      </c>
      <c r="E183" s="4">
        <v>3</v>
      </c>
    </row>
    <row r="184" spans="1:5" x14ac:dyDescent="0.25">
      <c r="A184" s="4" t="s">
        <v>72</v>
      </c>
      <c r="B184" s="4">
        <v>3</v>
      </c>
      <c r="C184" s="4">
        <v>24</v>
      </c>
      <c r="D184" s="4">
        <v>21</v>
      </c>
      <c r="E184" s="4">
        <v>5</v>
      </c>
    </row>
    <row r="185" spans="1:5" x14ac:dyDescent="0.25">
      <c r="A185" s="4" t="s">
        <v>72</v>
      </c>
      <c r="B185" s="4">
        <v>4</v>
      </c>
      <c r="C185" s="4">
        <v>24</v>
      </c>
      <c r="D185" s="4">
        <v>20</v>
      </c>
      <c r="E185" s="4">
        <v>5</v>
      </c>
    </row>
    <row r="186" spans="1:5" x14ac:dyDescent="0.25">
      <c r="A186" s="4" t="s">
        <v>72</v>
      </c>
      <c r="B186" s="4">
        <v>5</v>
      </c>
      <c r="C186" s="4">
        <v>24</v>
      </c>
      <c r="D186" s="4">
        <v>16</v>
      </c>
      <c r="E186" s="4">
        <v>4</v>
      </c>
    </row>
    <row r="187" spans="1:5" x14ac:dyDescent="0.25">
      <c r="A187" s="4" t="s">
        <v>72</v>
      </c>
      <c r="B187" s="4">
        <v>6</v>
      </c>
      <c r="C187" s="4">
        <v>24</v>
      </c>
      <c r="D187" s="4">
        <v>22</v>
      </c>
      <c r="E187" s="4">
        <v>3</v>
      </c>
    </row>
    <row r="188" spans="1:5" x14ac:dyDescent="0.25">
      <c r="A188" s="4" t="s">
        <v>72</v>
      </c>
      <c r="B188" s="4">
        <v>7</v>
      </c>
      <c r="C188" s="4">
        <v>24</v>
      </c>
      <c r="D188" s="4">
        <v>20</v>
      </c>
      <c r="E188" s="4">
        <v>2</v>
      </c>
    </row>
    <row r="189" spans="1:5" x14ac:dyDescent="0.25">
      <c r="A189" s="4" t="s">
        <v>72</v>
      </c>
      <c r="B189" s="4">
        <v>8</v>
      </c>
      <c r="C189" s="4">
        <v>24</v>
      </c>
      <c r="D189" s="4">
        <v>20</v>
      </c>
      <c r="E189" s="4">
        <v>4</v>
      </c>
    </row>
    <row r="190" spans="1:5" x14ac:dyDescent="0.25">
      <c r="A190" s="4" t="s">
        <v>72</v>
      </c>
      <c r="B190" s="4">
        <v>9</v>
      </c>
      <c r="C190" s="4">
        <v>24</v>
      </c>
      <c r="D190" s="4">
        <v>20</v>
      </c>
      <c r="E190" s="4">
        <v>3</v>
      </c>
    </row>
    <row r="191" spans="1:5" x14ac:dyDescent="0.25">
      <c r="A191" s="4" t="s">
        <v>72</v>
      </c>
      <c r="B191" s="4">
        <v>10</v>
      </c>
      <c r="C191" s="4">
        <v>24</v>
      </c>
      <c r="D191" s="4">
        <v>21</v>
      </c>
      <c r="E191" s="4">
        <v>6</v>
      </c>
    </row>
    <row r="192" spans="1:5" x14ac:dyDescent="0.25">
      <c r="A192" s="4" t="s">
        <v>72</v>
      </c>
      <c r="B192" s="4">
        <v>11</v>
      </c>
      <c r="C192" s="4">
        <v>24</v>
      </c>
      <c r="D192" s="4">
        <v>20</v>
      </c>
      <c r="E192" s="4">
        <v>3</v>
      </c>
    </row>
    <row r="193" spans="1:5" x14ac:dyDescent="0.25">
      <c r="A193" s="4" t="s">
        <v>72</v>
      </c>
      <c r="B193" s="4">
        <v>12</v>
      </c>
      <c r="C193" s="4">
        <v>24</v>
      </c>
      <c r="D193" s="4">
        <v>20</v>
      </c>
      <c r="E193" s="4">
        <v>5</v>
      </c>
    </row>
    <row r="194" spans="1:5" x14ac:dyDescent="0.25">
      <c r="A194" s="4" t="s">
        <v>74</v>
      </c>
      <c r="B194" s="4">
        <v>1</v>
      </c>
      <c r="C194" s="4">
        <v>24</v>
      </c>
      <c r="D194" s="4">
        <v>24</v>
      </c>
      <c r="E194" s="4">
        <v>1</v>
      </c>
    </row>
    <row r="195" spans="1:5" x14ac:dyDescent="0.25">
      <c r="A195" s="4" t="s">
        <v>74</v>
      </c>
      <c r="B195" s="4">
        <v>2</v>
      </c>
      <c r="C195" s="4">
        <v>24</v>
      </c>
      <c r="D195" s="4">
        <v>23</v>
      </c>
      <c r="E195" s="4">
        <v>1</v>
      </c>
    </row>
    <row r="196" spans="1:5" x14ac:dyDescent="0.25">
      <c r="A196" s="4" t="s">
        <v>74</v>
      </c>
      <c r="B196" s="4">
        <v>3</v>
      </c>
      <c r="C196" s="4">
        <v>24</v>
      </c>
      <c r="D196" s="4">
        <v>23</v>
      </c>
      <c r="E196" s="4">
        <v>0</v>
      </c>
    </row>
    <row r="197" spans="1:5" x14ac:dyDescent="0.25">
      <c r="A197" s="4" t="s">
        <v>74</v>
      </c>
      <c r="B197" s="4">
        <v>4</v>
      </c>
      <c r="C197" s="4">
        <v>24</v>
      </c>
      <c r="D197" s="4">
        <v>23</v>
      </c>
      <c r="E197" s="4">
        <v>0</v>
      </c>
    </row>
    <row r="198" spans="1:5" x14ac:dyDescent="0.25">
      <c r="A198" s="4" t="s">
        <v>74</v>
      </c>
      <c r="B198" s="4">
        <v>5</v>
      </c>
      <c r="C198" s="4">
        <v>24</v>
      </c>
      <c r="D198" s="4">
        <v>23</v>
      </c>
      <c r="E198" s="4">
        <v>1</v>
      </c>
    </row>
    <row r="199" spans="1:5" x14ac:dyDescent="0.25">
      <c r="A199" s="4" t="s">
        <v>74</v>
      </c>
      <c r="B199" s="4">
        <v>6</v>
      </c>
      <c r="C199" s="4">
        <v>24</v>
      </c>
      <c r="D199" s="4">
        <v>23</v>
      </c>
      <c r="E199" s="4">
        <v>0</v>
      </c>
    </row>
    <row r="200" spans="1:5" x14ac:dyDescent="0.25">
      <c r="A200" s="4" t="s">
        <v>74</v>
      </c>
      <c r="B200" s="4">
        <v>7</v>
      </c>
      <c r="C200" s="4">
        <v>24</v>
      </c>
      <c r="D200" s="4">
        <v>24</v>
      </c>
      <c r="E200" s="4">
        <v>1</v>
      </c>
    </row>
    <row r="201" spans="1:5" x14ac:dyDescent="0.25">
      <c r="A201" s="4" t="s">
        <v>74</v>
      </c>
      <c r="B201" s="4">
        <v>8</v>
      </c>
      <c r="C201" s="4">
        <v>24</v>
      </c>
      <c r="D201" s="4">
        <v>24</v>
      </c>
      <c r="E201" s="4">
        <v>0</v>
      </c>
    </row>
    <row r="202" spans="1:5" x14ac:dyDescent="0.25">
      <c r="A202" s="4" t="s">
        <v>74</v>
      </c>
      <c r="B202" s="4">
        <v>9</v>
      </c>
      <c r="C202" s="4">
        <v>24</v>
      </c>
      <c r="D202" s="4">
        <v>24</v>
      </c>
      <c r="E202" s="4">
        <v>0</v>
      </c>
    </row>
    <row r="203" spans="1:5" x14ac:dyDescent="0.25">
      <c r="A203" s="4" t="s">
        <v>74</v>
      </c>
      <c r="B203" s="4">
        <v>10</v>
      </c>
      <c r="C203" s="4">
        <v>24</v>
      </c>
      <c r="D203" s="4">
        <v>24</v>
      </c>
      <c r="E203" s="4">
        <v>1</v>
      </c>
    </row>
    <row r="204" spans="1:5" x14ac:dyDescent="0.25">
      <c r="A204" s="4" t="s">
        <v>74</v>
      </c>
      <c r="B204" s="4">
        <v>11</v>
      </c>
      <c r="C204" s="4">
        <v>24</v>
      </c>
      <c r="D204" s="4">
        <v>23</v>
      </c>
      <c r="E204" s="4">
        <v>0</v>
      </c>
    </row>
    <row r="205" spans="1:5" x14ac:dyDescent="0.25">
      <c r="A205" s="4" t="s">
        <v>74</v>
      </c>
      <c r="B205" s="4">
        <v>12</v>
      </c>
      <c r="C205" s="4">
        <v>24</v>
      </c>
      <c r="D205" s="4">
        <v>23</v>
      </c>
      <c r="E205" s="4">
        <v>1</v>
      </c>
    </row>
    <row r="206" spans="1:5" x14ac:dyDescent="0.25">
      <c r="A206" s="4" t="s">
        <v>77</v>
      </c>
      <c r="B206" s="4">
        <v>1</v>
      </c>
      <c r="C206" s="4">
        <v>24</v>
      </c>
      <c r="D206" s="4">
        <v>23</v>
      </c>
      <c r="E206" s="4">
        <v>1</v>
      </c>
    </row>
    <row r="207" spans="1:5" x14ac:dyDescent="0.25">
      <c r="A207" s="4" t="s">
        <v>77</v>
      </c>
      <c r="B207" s="4">
        <v>2</v>
      </c>
      <c r="C207" s="4">
        <v>24</v>
      </c>
      <c r="D207" s="4">
        <v>21</v>
      </c>
      <c r="E207" s="4">
        <v>0</v>
      </c>
    </row>
    <row r="208" spans="1:5" x14ac:dyDescent="0.25">
      <c r="A208" s="4" t="s">
        <v>77</v>
      </c>
      <c r="B208" s="4">
        <v>3</v>
      </c>
      <c r="C208" s="4">
        <v>24</v>
      </c>
      <c r="D208" s="4">
        <v>22</v>
      </c>
      <c r="E208" s="4">
        <v>1</v>
      </c>
    </row>
    <row r="209" spans="1:5" x14ac:dyDescent="0.25">
      <c r="A209" s="4" t="s">
        <v>77</v>
      </c>
      <c r="B209" s="4">
        <v>4</v>
      </c>
      <c r="C209" s="4">
        <v>24</v>
      </c>
      <c r="D209" s="4">
        <v>22</v>
      </c>
      <c r="E209" s="4">
        <v>2</v>
      </c>
    </row>
    <row r="210" spans="1:5" x14ac:dyDescent="0.25">
      <c r="A210" s="4" t="s">
        <v>77</v>
      </c>
      <c r="B210" s="4">
        <v>5</v>
      </c>
      <c r="C210" s="4">
        <v>24</v>
      </c>
      <c r="D210" s="4">
        <v>22</v>
      </c>
      <c r="E210" s="4">
        <v>2</v>
      </c>
    </row>
    <row r="211" spans="1:5" x14ac:dyDescent="0.25">
      <c r="A211" s="4" t="s">
        <v>77</v>
      </c>
      <c r="B211" s="4">
        <v>6</v>
      </c>
      <c r="C211" s="4">
        <v>24</v>
      </c>
      <c r="D211" s="4">
        <v>22</v>
      </c>
      <c r="E211" s="4">
        <v>1</v>
      </c>
    </row>
    <row r="212" spans="1:5" x14ac:dyDescent="0.25">
      <c r="A212" s="4" t="s">
        <v>77</v>
      </c>
      <c r="B212" s="4">
        <v>7</v>
      </c>
      <c r="C212" s="4">
        <v>24</v>
      </c>
      <c r="D212" s="4">
        <v>23</v>
      </c>
      <c r="E212" s="4">
        <v>2</v>
      </c>
    </row>
    <row r="213" spans="1:5" x14ac:dyDescent="0.25">
      <c r="A213" s="4" t="s">
        <v>77</v>
      </c>
      <c r="B213" s="4">
        <v>8</v>
      </c>
      <c r="C213" s="4">
        <v>24</v>
      </c>
      <c r="D213" s="4">
        <v>21</v>
      </c>
      <c r="E213" s="4">
        <v>3</v>
      </c>
    </row>
    <row r="214" spans="1:5" x14ac:dyDescent="0.25">
      <c r="A214" s="4" t="s">
        <v>77</v>
      </c>
      <c r="B214" s="4">
        <v>9</v>
      </c>
      <c r="C214" s="4">
        <v>24</v>
      </c>
      <c r="D214" s="4">
        <v>23</v>
      </c>
      <c r="E214" s="4">
        <v>2</v>
      </c>
    </row>
    <row r="215" spans="1:5" x14ac:dyDescent="0.25">
      <c r="A215" s="4" t="s">
        <v>77</v>
      </c>
      <c r="B215" s="4">
        <v>10</v>
      </c>
      <c r="C215" s="4">
        <v>24</v>
      </c>
      <c r="D215" s="4">
        <v>22</v>
      </c>
      <c r="E215" s="4">
        <v>1</v>
      </c>
    </row>
    <row r="216" spans="1:5" x14ac:dyDescent="0.25">
      <c r="A216" s="4" t="s">
        <v>77</v>
      </c>
      <c r="B216" s="4">
        <v>11</v>
      </c>
      <c r="C216" s="4">
        <v>24</v>
      </c>
      <c r="D216" s="4">
        <v>22</v>
      </c>
      <c r="E216" s="4">
        <v>0</v>
      </c>
    </row>
    <row r="217" spans="1:5" x14ac:dyDescent="0.25">
      <c r="A217" s="4" t="s">
        <v>77</v>
      </c>
      <c r="B217" s="4">
        <v>12</v>
      </c>
      <c r="C217" s="4">
        <v>24</v>
      </c>
      <c r="D217" s="4">
        <v>21</v>
      </c>
      <c r="E217" s="4">
        <v>2</v>
      </c>
    </row>
    <row r="218" spans="1:5" x14ac:dyDescent="0.25">
      <c r="A218" s="4" t="s">
        <v>79</v>
      </c>
      <c r="B218" s="4">
        <v>1</v>
      </c>
      <c r="C218" s="4">
        <v>24</v>
      </c>
      <c r="D218" s="4">
        <v>21</v>
      </c>
      <c r="E218" s="4">
        <v>3</v>
      </c>
    </row>
    <row r="219" spans="1:5" x14ac:dyDescent="0.25">
      <c r="A219" s="4" t="s">
        <v>79</v>
      </c>
      <c r="B219" s="4">
        <v>2</v>
      </c>
      <c r="C219" s="4">
        <v>24</v>
      </c>
      <c r="D219" s="4">
        <v>22</v>
      </c>
      <c r="E219" s="4">
        <v>1</v>
      </c>
    </row>
    <row r="220" spans="1:5" x14ac:dyDescent="0.25">
      <c r="A220" s="4" t="s">
        <v>79</v>
      </c>
      <c r="B220" s="4">
        <v>3</v>
      </c>
      <c r="C220" s="4">
        <v>24</v>
      </c>
      <c r="D220" s="4">
        <v>22</v>
      </c>
      <c r="E220" s="4">
        <v>3</v>
      </c>
    </row>
    <row r="221" spans="1:5" x14ac:dyDescent="0.25">
      <c r="A221" s="4" t="s">
        <v>79</v>
      </c>
      <c r="B221" s="4">
        <v>4</v>
      </c>
      <c r="C221" s="4">
        <v>24</v>
      </c>
      <c r="D221" s="4">
        <v>24</v>
      </c>
      <c r="E221" s="4">
        <v>2</v>
      </c>
    </row>
    <row r="222" spans="1:5" x14ac:dyDescent="0.25">
      <c r="A222" s="4" t="s">
        <v>79</v>
      </c>
      <c r="B222" s="4">
        <v>5</v>
      </c>
      <c r="C222" s="4">
        <v>24</v>
      </c>
      <c r="D222" s="4">
        <v>23</v>
      </c>
      <c r="E222" s="4">
        <v>0</v>
      </c>
    </row>
    <row r="223" spans="1:5" x14ac:dyDescent="0.25">
      <c r="A223" s="4" t="s">
        <v>79</v>
      </c>
      <c r="B223" s="4">
        <v>6</v>
      </c>
      <c r="C223" s="4">
        <v>24</v>
      </c>
      <c r="D223" s="4">
        <v>24</v>
      </c>
      <c r="E223" s="4">
        <v>0</v>
      </c>
    </row>
    <row r="224" spans="1:5" x14ac:dyDescent="0.25">
      <c r="A224" s="4" t="s">
        <v>79</v>
      </c>
      <c r="B224" s="4">
        <v>7</v>
      </c>
      <c r="C224" s="4">
        <v>24</v>
      </c>
      <c r="D224" s="4">
        <v>21</v>
      </c>
      <c r="E224" s="4">
        <v>1</v>
      </c>
    </row>
    <row r="225" spans="1:5" x14ac:dyDescent="0.25">
      <c r="A225" s="4" t="s">
        <v>79</v>
      </c>
      <c r="B225" s="4">
        <v>8</v>
      </c>
      <c r="C225" s="4">
        <v>24</v>
      </c>
      <c r="D225" s="4">
        <v>22</v>
      </c>
      <c r="E225" s="4">
        <v>1</v>
      </c>
    </row>
    <row r="226" spans="1:5" x14ac:dyDescent="0.25">
      <c r="A226" s="4" t="s">
        <v>79</v>
      </c>
      <c r="B226" s="4">
        <v>9</v>
      </c>
      <c r="C226" s="4">
        <v>24</v>
      </c>
      <c r="D226" s="4">
        <v>21</v>
      </c>
      <c r="E226" s="4">
        <v>1</v>
      </c>
    </row>
    <row r="227" spans="1:5" x14ac:dyDescent="0.25">
      <c r="A227" s="4" t="s">
        <v>79</v>
      </c>
      <c r="B227" s="4">
        <v>10</v>
      </c>
      <c r="C227" s="4">
        <v>24</v>
      </c>
      <c r="D227" s="4">
        <v>21</v>
      </c>
      <c r="E227" s="4">
        <v>1</v>
      </c>
    </row>
    <row r="228" spans="1:5" x14ac:dyDescent="0.25">
      <c r="A228" s="4" t="s">
        <v>79</v>
      </c>
      <c r="B228" s="4">
        <v>11</v>
      </c>
      <c r="C228" s="4">
        <v>24</v>
      </c>
      <c r="D228" s="4">
        <v>23</v>
      </c>
      <c r="E228" s="4">
        <v>2</v>
      </c>
    </row>
    <row r="229" spans="1:5" x14ac:dyDescent="0.25">
      <c r="A229" s="4" t="s">
        <v>79</v>
      </c>
      <c r="B229" s="4">
        <v>12</v>
      </c>
      <c r="C229" s="4">
        <v>24</v>
      </c>
      <c r="D229" s="4">
        <v>22</v>
      </c>
      <c r="E229" s="4">
        <v>3</v>
      </c>
    </row>
    <row r="230" spans="1:5" x14ac:dyDescent="0.25">
      <c r="A230" s="4" t="s">
        <v>82</v>
      </c>
      <c r="B230" s="4">
        <v>1</v>
      </c>
      <c r="C230" s="4">
        <v>24</v>
      </c>
      <c r="D230" s="4">
        <v>19</v>
      </c>
      <c r="E230" s="4">
        <v>2</v>
      </c>
    </row>
    <row r="231" spans="1:5" x14ac:dyDescent="0.25">
      <c r="A231" s="4" t="s">
        <v>82</v>
      </c>
      <c r="B231" s="4">
        <v>2</v>
      </c>
      <c r="C231" s="4">
        <v>24</v>
      </c>
      <c r="D231" s="4">
        <v>20</v>
      </c>
      <c r="E231" s="4">
        <v>3</v>
      </c>
    </row>
    <row r="232" spans="1:5" x14ac:dyDescent="0.25">
      <c r="A232" s="4" t="s">
        <v>82</v>
      </c>
      <c r="B232" s="4">
        <v>3</v>
      </c>
      <c r="C232" s="4">
        <v>24</v>
      </c>
      <c r="D232" s="4">
        <v>18</v>
      </c>
      <c r="E232" s="4">
        <v>4</v>
      </c>
    </row>
    <row r="233" spans="1:5" x14ac:dyDescent="0.25">
      <c r="A233" s="4" t="s">
        <v>82</v>
      </c>
      <c r="B233" s="4">
        <v>4</v>
      </c>
      <c r="C233" s="4">
        <v>24</v>
      </c>
      <c r="D233" s="4">
        <v>20</v>
      </c>
      <c r="E233" s="4">
        <v>5</v>
      </c>
    </row>
    <row r="234" spans="1:5" x14ac:dyDescent="0.25">
      <c r="A234" s="4" t="s">
        <v>82</v>
      </c>
      <c r="B234" s="4">
        <v>5</v>
      </c>
      <c r="C234" s="4">
        <v>24</v>
      </c>
      <c r="D234" s="4">
        <v>20</v>
      </c>
      <c r="E234" s="4">
        <v>3</v>
      </c>
    </row>
    <row r="235" spans="1:5" x14ac:dyDescent="0.25">
      <c r="A235" s="4" t="s">
        <v>82</v>
      </c>
      <c r="B235" s="4">
        <v>6</v>
      </c>
      <c r="C235" s="4">
        <v>24</v>
      </c>
      <c r="D235" s="4">
        <v>19</v>
      </c>
      <c r="E235" s="4">
        <v>5</v>
      </c>
    </row>
    <row r="236" spans="1:5" x14ac:dyDescent="0.25">
      <c r="A236" s="4" t="s">
        <v>82</v>
      </c>
      <c r="B236" s="4">
        <v>7</v>
      </c>
      <c r="C236" s="4">
        <v>24</v>
      </c>
      <c r="D236" s="4">
        <v>20</v>
      </c>
      <c r="E236" s="4">
        <v>3</v>
      </c>
    </row>
    <row r="237" spans="1:5" x14ac:dyDescent="0.25">
      <c r="A237" s="4" t="s">
        <v>82</v>
      </c>
      <c r="B237" s="4">
        <v>8</v>
      </c>
      <c r="C237" s="4">
        <v>24</v>
      </c>
      <c r="D237" s="4">
        <v>21</v>
      </c>
      <c r="E237" s="4">
        <v>4</v>
      </c>
    </row>
    <row r="238" spans="1:5" x14ac:dyDescent="0.25">
      <c r="A238" s="4" t="s">
        <v>82</v>
      </c>
      <c r="B238" s="4">
        <v>9</v>
      </c>
      <c r="C238" s="4">
        <v>24</v>
      </c>
      <c r="D238" s="4">
        <v>20</v>
      </c>
      <c r="E238" s="4">
        <v>4</v>
      </c>
    </row>
    <row r="239" spans="1:5" x14ac:dyDescent="0.25">
      <c r="A239" s="4" t="s">
        <v>82</v>
      </c>
      <c r="B239" s="4">
        <v>10</v>
      </c>
      <c r="C239" s="4">
        <v>24</v>
      </c>
      <c r="D239" s="4">
        <v>22</v>
      </c>
      <c r="E239" s="4">
        <v>5</v>
      </c>
    </row>
    <row r="240" spans="1:5" x14ac:dyDescent="0.25">
      <c r="A240" s="4" t="s">
        <v>82</v>
      </c>
      <c r="B240" s="4">
        <v>11</v>
      </c>
      <c r="C240" s="4">
        <v>24</v>
      </c>
      <c r="D240" s="4">
        <v>21</v>
      </c>
      <c r="E240" s="4">
        <v>3</v>
      </c>
    </row>
    <row r="241" spans="1:5" x14ac:dyDescent="0.25">
      <c r="A241" s="4" t="s">
        <v>82</v>
      </c>
      <c r="B241" s="4">
        <v>12</v>
      </c>
      <c r="C241" s="4">
        <v>24</v>
      </c>
      <c r="D241" s="4">
        <v>18</v>
      </c>
      <c r="E241" s="4">
        <v>2</v>
      </c>
    </row>
    <row r="242" spans="1:5" x14ac:dyDescent="0.25">
      <c r="A242" s="4" t="s">
        <v>84</v>
      </c>
      <c r="B242" s="4">
        <v>1</v>
      </c>
      <c r="C242" s="4">
        <v>24</v>
      </c>
      <c r="D242" s="4">
        <v>19</v>
      </c>
      <c r="E242" s="4">
        <v>4</v>
      </c>
    </row>
    <row r="243" spans="1:5" x14ac:dyDescent="0.25">
      <c r="A243" s="4" t="s">
        <v>84</v>
      </c>
      <c r="B243" s="4">
        <v>2</v>
      </c>
      <c r="C243" s="4">
        <v>24</v>
      </c>
      <c r="D243" s="4">
        <v>20</v>
      </c>
      <c r="E243" s="4">
        <v>5</v>
      </c>
    </row>
    <row r="244" spans="1:5" x14ac:dyDescent="0.25">
      <c r="A244" s="4" t="s">
        <v>84</v>
      </c>
      <c r="B244" s="4">
        <v>3</v>
      </c>
      <c r="C244" s="4">
        <v>24</v>
      </c>
      <c r="D244" s="4">
        <v>18</v>
      </c>
      <c r="E244" s="4">
        <v>1</v>
      </c>
    </row>
    <row r="245" spans="1:5" x14ac:dyDescent="0.25">
      <c r="A245" s="4" t="s">
        <v>84</v>
      </c>
      <c r="B245" s="4">
        <v>4</v>
      </c>
      <c r="C245" s="4">
        <v>24</v>
      </c>
      <c r="D245" s="4">
        <v>21</v>
      </c>
      <c r="E245" s="4">
        <v>4</v>
      </c>
    </row>
    <row r="246" spans="1:5" x14ac:dyDescent="0.25">
      <c r="A246" s="4" t="s">
        <v>84</v>
      </c>
      <c r="B246" s="4">
        <v>5</v>
      </c>
      <c r="C246" s="4">
        <v>24</v>
      </c>
      <c r="D246" s="4">
        <v>21</v>
      </c>
      <c r="E246" s="4">
        <v>3</v>
      </c>
    </row>
    <row r="247" spans="1:5" x14ac:dyDescent="0.25">
      <c r="A247" s="4" t="s">
        <v>84</v>
      </c>
      <c r="B247" s="4">
        <v>6</v>
      </c>
      <c r="C247" s="4">
        <v>24</v>
      </c>
      <c r="D247" s="4">
        <v>20</v>
      </c>
      <c r="E247" s="4">
        <v>3</v>
      </c>
    </row>
    <row r="248" spans="1:5" x14ac:dyDescent="0.25">
      <c r="A248" s="4" t="s">
        <v>84</v>
      </c>
      <c r="B248" s="4">
        <v>7</v>
      </c>
      <c r="C248" s="4">
        <v>24</v>
      </c>
      <c r="D248" s="4">
        <v>21</v>
      </c>
      <c r="E248" s="4">
        <v>2</v>
      </c>
    </row>
    <row r="249" spans="1:5" x14ac:dyDescent="0.25">
      <c r="A249" s="4" t="s">
        <v>84</v>
      </c>
      <c r="B249" s="4">
        <v>8</v>
      </c>
      <c r="C249" s="4">
        <v>24</v>
      </c>
      <c r="D249" s="4">
        <v>22</v>
      </c>
      <c r="E249" s="4">
        <v>3</v>
      </c>
    </row>
    <row r="250" spans="1:5" x14ac:dyDescent="0.25">
      <c r="A250" s="4" t="s">
        <v>84</v>
      </c>
      <c r="B250" s="4">
        <v>9</v>
      </c>
      <c r="C250" s="4">
        <v>24</v>
      </c>
      <c r="D250" s="4">
        <v>22</v>
      </c>
      <c r="E250" s="4">
        <v>2</v>
      </c>
    </row>
    <row r="251" spans="1:5" x14ac:dyDescent="0.25">
      <c r="A251" s="4" t="s">
        <v>84</v>
      </c>
      <c r="B251" s="4">
        <v>10</v>
      </c>
      <c r="C251" s="4">
        <v>24</v>
      </c>
      <c r="D251" s="4">
        <v>22</v>
      </c>
      <c r="E251" s="4">
        <v>2</v>
      </c>
    </row>
    <row r="252" spans="1:5" x14ac:dyDescent="0.25">
      <c r="A252" s="4" t="s">
        <v>84</v>
      </c>
      <c r="B252" s="4">
        <v>11</v>
      </c>
      <c r="C252" s="4">
        <v>24</v>
      </c>
      <c r="D252" s="4">
        <v>22</v>
      </c>
      <c r="E252" s="4">
        <v>1</v>
      </c>
    </row>
    <row r="253" spans="1:5" x14ac:dyDescent="0.25">
      <c r="A253" s="4" t="s">
        <v>84</v>
      </c>
      <c r="B253" s="4">
        <v>12</v>
      </c>
      <c r="C253" s="4">
        <v>24</v>
      </c>
      <c r="D253" s="4">
        <v>24</v>
      </c>
      <c r="E253" s="4">
        <v>2</v>
      </c>
    </row>
    <row r="254" spans="1:5" x14ac:dyDescent="0.25">
      <c r="A254" s="4" t="s">
        <v>86</v>
      </c>
      <c r="B254" s="4">
        <v>1</v>
      </c>
      <c r="C254" s="4">
        <v>24</v>
      </c>
      <c r="D254" s="4">
        <v>23</v>
      </c>
      <c r="E254" s="4">
        <v>0</v>
      </c>
    </row>
    <row r="255" spans="1:5" x14ac:dyDescent="0.25">
      <c r="A255" s="4" t="s">
        <v>86</v>
      </c>
      <c r="B255" s="4">
        <v>2</v>
      </c>
      <c r="C255" s="4">
        <v>24</v>
      </c>
      <c r="D255" s="4">
        <v>23</v>
      </c>
      <c r="E255" s="4">
        <v>1</v>
      </c>
    </row>
    <row r="256" spans="1:5" x14ac:dyDescent="0.25">
      <c r="A256" s="4" t="s">
        <v>86</v>
      </c>
      <c r="B256" s="4">
        <v>3</v>
      </c>
      <c r="C256" s="4">
        <v>24</v>
      </c>
      <c r="D256" s="4">
        <v>23</v>
      </c>
      <c r="E256" s="4">
        <v>1</v>
      </c>
    </row>
    <row r="257" spans="1:5" x14ac:dyDescent="0.25">
      <c r="A257" s="4" t="s">
        <v>86</v>
      </c>
      <c r="B257" s="4">
        <v>4</v>
      </c>
      <c r="C257" s="4">
        <v>24</v>
      </c>
      <c r="D257" s="4">
        <v>23</v>
      </c>
      <c r="E257" s="4">
        <v>1</v>
      </c>
    </row>
    <row r="258" spans="1:5" x14ac:dyDescent="0.25">
      <c r="A258" s="4" t="s">
        <v>86</v>
      </c>
      <c r="B258" s="4">
        <v>5</v>
      </c>
      <c r="C258" s="4">
        <v>24</v>
      </c>
      <c r="D258" s="4">
        <v>23</v>
      </c>
      <c r="E258" s="4">
        <v>0</v>
      </c>
    </row>
    <row r="259" spans="1:5" x14ac:dyDescent="0.25">
      <c r="A259" s="4" t="s">
        <v>86</v>
      </c>
      <c r="B259" s="4">
        <v>6</v>
      </c>
      <c r="C259" s="4">
        <v>24</v>
      </c>
      <c r="D259" s="4">
        <v>23</v>
      </c>
      <c r="E259" s="4">
        <v>0</v>
      </c>
    </row>
    <row r="260" spans="1:5" x14ac:dyDescent="0.25">
      <c r="A260" s="4" t="s">
        <v>86</v>
      </c>
      <c r="B260" s="4">
        <v>7</v>
      </c>
      <c r="C260" s="4">
        <v>24</v>
      </c>
      <c r="D260" s="4">
        <v>23</v>
      </c>
      <c r="E260" s="4">
        <v>1</v>
      </c>
    </row>
    <row r="261" spans="1:5" x14ac:dyDescent="0.25">
      <c r="A261" s="4" t="s">
        <v>86</v>
      </c>
      <c r="B261" s="4">
        <v>8</v>
      </c>
      <c r="C261" s="4">
        <v>24</v>
      </c>
      <c r="D261" s="4">
        <v>23</v>
      </c>
      <c r="E261" s="4">
        <v>0</v>
      </c>
    </row>
    <row r="262" spans="1:5" x14ac:dyDescent="0.25">
      <c r="A262" s="4" t="s">
        <v>86</v>
      </c>
      <c r="B262" s="4">
        <v>9</v>
      </c>
      <c r="C262" s="4">
        <v>24</v>
      </c>
      <c r="D262" s="4">
        <v>23</v>
      </c>
      <c r="E262" s="4">
        <v>0</v>
      </c>
    </row>
    <row r="263" spans="1:5" x14ac:dyDescent="0.25">
      <c r="A263" s="4" t="s">
        <v>86</v>
      </c>
      <c r="B263" s="4">
        <v>10</v>
      </c>
      <c r="C263" s="4">
        <v>24</v>
      </c>
      <c r="D263" s="4">
        <v>24</v>
      </c>
      <c r="E263" s="4">
        <v>0</v>
      </c>
    </row>
    <row r="264" spans="1:5" x14ac:dyDescent="0.25">
      <c r="A264" s="4" t="s">
        <v>86</v>
      </c>
      <c r="B264" s="4">
        <v>11</v>
      </c>
      <c r="C264" s="4">
        <v>24</v>
      </c>
      <c r="D264" s="4">
        <v>24</v>
      </c>
      <c r="E264" s="4">
        <v>0</v>
      </c>
    </row>
    <row r="265" spans="1:5" x14ac:dyDescent="0.25">
      <c r="A265" s="4" t="s">
        <v>86</v>
      </c>
      <c r="B265" s="4">
        <v>12</v>
      </c>
      <c r="C265" s="4">
        <v>24</v>
      </c>
      <c r="D265" s="4">
        <v>23</v>
      </c>
      <c r="E265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8" customWidth="1"/>
    <col min="3" max="3" width="16" customWidth="1"/>
    <col min="4" max="4" width="24" customWidth="1"/>
  </cols>
  <sheetData>
    <row r="1" spans="1:4" x14ac:dyDescent="0.25">
      <c r="A1" s="3" t="s">
        <v>20</v>
      </c>
      <c r="B1" s="3" t="s">
        <v>93</v>
      </c>
      <c r="C1" s="3" t="s">
        <v>97</v>
      </c>
      <c r="D1" s="3" t="s">
        <v>98</v>
      </c>
    </row>
    <row r="2" spans="1:4" x14ac:dyDescent="0.25">
      <c r="A2" s="4" t="s">
        <v>26</v>
      </c>
      <c r="B2" s="4">
        <v>1</v>
      </c>
      <c r="C2" s="4">
        <v>1</v>
      </c>
      <c r="D2" s="4">
        <v>2.2999999999999998</v>
      </c>
    </row>
    <row r="3" spans="1:4" x14ac:dyDescent="0.25">
      <c r="A3" s="4" t="s">
        <v>26</v>
      </c>
      <c r="B3" s="4">
        <v>2</v>
      </c>
      <c r="C3" s="4">
        <v>0</v>
      </c>
      <c r="D3" s="4">
        <v>0</v>
      </c>
    </row>
    <row r="4" spans="1:4" x14ac:dyDescent="0.25">
      <c r="A4" s="4" t="s">
        <v>26</v>
      </c>
      <c r="B4" s="4">
        <v>3</v>
      </c>
      <c r="C4" s="4">
        <v>0</v>
      </c>
      <c r="D4" s="4">
        <v>0</v>
      </c>
    </row>
    <row r="5" spans="1:4" x14ac:dyDescent="0.25">
      <c r="A5" s="4" t="s">
        <v>26</v>
      </c>
      <c r="B5" s="4">
        <v>4</v>
      </c>
      <c r="C5" s="4">
        <v>0</v>
      </c>
      <c r="D5" s="4">
        <v>0</v>
      </c>
    </row>
    <row r="6" spans="1:4" x14ac:dyDescent="0.25">
      <c r="A6" s="4" t="s">
        <v>26</v>
      </c>
      <c r="B6" s="4">
        <v>5</v>
      </c>
      <c r="C6" s="4">
        <v>1</v>
      </c>
      <c r="D6" s="4">
        <v>1.6</v>
      </c>
    </row>
    <row r="7" spans="1:4" x14ac:dyDescent="0.25">
      <c r="A7" s="4" t="s">
        <v>26</v>
      </c>
      <c r="B7" s="4">
        <v>6</v>
      </c>
      <c r="C7" s="4">
        <v>0</v>
      </c>
      <c r="D7" s="4">
        <v>0</v>
      </c>
    </row>
    <row r="8" spans="1:4" x14ac:dyDescent="0.25">
      <c r="A8" s="4" t="s">
        <v>26</v>
      </c>
      <c r="B8" s="4">
        <v>7</v>
      </c>
      <c r="C8" s="4">
        <v>0</v>
      </c>
      <c r="D8" s="4">
        <v>0</v>
      </c>
    </row>
    <row r="9" spans="1:4" x14ac:dyDescent="0.25">
      <c r="A9" s="4" t="s">
        <v>26</v>
      </c>
      <c r="B9" s="4">
        <v>8</v>
      </c>
      <c r="C9" s="4">
        <v>0</v>
      </c>
      <c r="D9" s="4">
        <v>0</v>
      </c>
    </row>
    <row r="10" spans="1:4" x14ac:dyDescent="0.25">
      <c r="A10" s="4" t="s">
        <v>26</v>
      </c>
      <c r="B10" s="4">
        <v>9</v>
      </c>
      <c r="C10" s="4">
        <v>0</v>
      </c>
      <c r="D10" s="4">
        <v>0</v>
      </c>
    </row>
    <row r="11" spans="1:4" x14ac:dyDescent="0.25">
      <c r="A11" s="4" t="s">
        <v>26</v>
      </c>
      <c r="B11" s="4">
        <v>10</v>
      </c>
      <c r="C11" s="4">
        <v>0</v>
      </c>
      <c r="D11" s="4">
        <v>0</v>
      </c>
    </row>
    <row r="12" spans="1:4" x14ac:dyDescent="0.25">
      <c r="A12" s="4" t="s">
        <v>26</v>
      </c>
      <c r="B12" s="4">
        <v>11</v>
      </c>
      <c r="C12" s="4">
        <v>0</v>
      </c>
      <c r="D12" s="4">
        <v>0</v>
      </c>
    </row>
    <row r="13" spans="1:4" x14ac:dyDescent="0.25">
      <c r="A13" s="4" t="s">
        <v>26</v>
      </c>
      <c r="B13" s="4">
        <v>12</v>
      </c>
      <c r="C13" s="4">
        <v>0</v>
      </c>
      <c r="D13" s="4">
        <v>0</v>
      </c>
    </row>
    <row r="14" spans="1:4" x14ac:dyDescent="0.25">
      <c r="A14" s="4" t="s">
        <v>31</v>
      </c>
      <c r="B14" s="4">
        <v>1</v>
      </c>
      <c r="C14" s="4">
        <v>1</v>
      </c>
      <c r="D14" s="4">
        <v>2.7</v>
      </c>
    </row>
    <row r="15" spans="1:4" x14ac:dyDescent="0.25">
      <c r="A15" s="4" t="s">
        <v>31</v>
      </c>
      <c r="B15" s="4">
        <v>2</v>
      </c>
      <c r="C15" s="4">
        <v>0</v>
      </c>
      <c r="D15" s="4">
        <v>0</v>
      </c>
    </row>
    <row r="16" spans="1:4" x14ac:dyDescent="0.25">
      <c r="A16" s="4" t="s">
        <v>31</v>
      </c>
      <c r="B16" s="4">
        <v>3</v>
      </c>
      <c r="C16" s="4">
        <v>0</v>
      </c>
      <c r="D16" s="4">
        <v>0</v>
      </c>
    </row>
    <row r="17" spans="1:4" x14ac:dyDescent="0.25">
      <c r="A17" s="4" t="s">
        <v>31</v>
      </c>
      <c r="B17" s="4">
        <v>4</v>
      </c>
      <c r="C17" s="4">
        <v>0</v>
      </c>
      <c r="D17" s="4">
        <v>0</v>
      </c>
    </row>
    <row r="18" spans="1:4" x14ac:dyDescent="0.25">
      <c r="A18" s="4" t="s">
        <v>31</v>
      </c>
      <c r="B18" s="4">
        <v>5</v>
      </c>
      <c r="C18" s="4">
        <v>0</v>
      </c>
      <c r="D18" s="4">
        <v>0</v>
      </c>
    </row>
    <row r="19" spans="1:4" x14ac:dyDescent="0.25">
      <c r="A19" s="4" t="s">
        <v>31</v>
      </c>
      <c r="B19" s="4">
        <v>6</v>
      </c>
      <c r="C19" s="4">
        <v>1</v>
      </c>
      <c r="D19" s="4">
        <v>1.5</v>
      </c>
    </row>
    <row r="20" spans="1:4" x14ac:dyDescent="0.25">
      <c r="A20" s="4" t="s">
        <v>31</v>
      </c>
      <c r="B20" s="4">
        <v>7</v>
      </c>
      <c r="C20" s="4">
        <v>0</v>
      </c>
      <c r="D20" s="4">
        <v>0</v>
      </c>
    </row>
    <row r="21" spans="1:4" x14ac:dyDescent="0.25">
      <c r="A21" s="4" t="s">
        <v>31</v>
      </c>
      <c r="B21" s="4">
        <v>8</v>
      </c>
      <c r="C21" s="4">
        <v>1</v>
      </c>
      <c r="D21" s="4">
        <v>1.4</v>
      </c>
    </row>
    <row r="22" spans="1:4" x14ac:dyDescent="0.25">
      <c r="A22" s="4" t="s">
        <v>31</v>
      </c>
      <c r="B22" s="4">
        <v>9</v>
      </c>
      <c r="C22" s="4">
        <v>0</v>
      </c>
      <c r="D22" s="4">
        <v>0</v>
      </c>
    </row>
    <row r="23" spans="1:4" x14ac:dyDescent="0.25">
      <c r="A23" s="4" t="s">
        <v>31</v>
      </c>
      <c r="B23" s="4">
        <v>10</v>
      </c>
      <c r="C23" s="4">
        <v>1</v>
      </c>
      <c r="D23" s="4">
        <v>2.9</v>
      </c>
    </row>
    <row r="24" spans="1:4" x14ac:dyDescent="0.25">
      <c r="A24" s="4" t="s">
        <v>31</v>
      </c>
      <c r="B24" s="4">
        <v>11</v>
      </c>
      <c r="C24" s="4">
        <v>1</v>
      </c>
      <c r="D24" s="4">
        <v>2.5</v>
      </c>
    </row>
    <row r="25" spans="1:4" x14ac:dyDescent="0.25">
      <c r="A25" s="4" t="s">
        <v>31</v>
      </c>
      <c r="B25" s="4">
        <v>12</v>
      </c>
      <c r="C25" s="4">
        <v>0</v>
      </c>
      <c r="D25" s="4">
        <v>0</v>
      </c>
    </row>
    <row r="26" spans="1:4" x14ac:dyDescent="0.25">
      <c r="A26" s="4" t="s">
        <v>35</v>
      </c>
      <c r="B26" s="4">
        <v>1</v>
      </c>
      <c r="C26" s="4">
        <v>2</v>
      </c>
      <c r="D26" s="4">
        <v>2.4</v>
      </c>
    </row>
    <row r="27" spans="1:4" x14ac:dyDescent="0.25">
      <c r="A27" s="4" t="s">
        <v>35</v>
      </c>
      <c r="B27" s="4">
        <v>2</v>
      </c>
      <c r="C27" s="4">
        <v>1</v>
      </c>
      <c r="D27" s="4">
        <v>2.1</v>
      </c>
    </row>
    <row r="28" spans="1:4" x14ac:dyDescent="0.25">
      <c r="A28" s="4" t="s">
        <v>35</v>
      </c>
      <c r="B28" s="4">
        <v>3</v>
      </c>
      <c r="C28" s="4">
        <v>2</v>
      </c>
      <c r="D28" s="4">
        <v>2.4</v>
      </c>
    </row>
    <row r="29" spans="1:4" x14ac:dyDescent="0.25">
      <c r="A29" s="4" t="s">
        <v>35</v>
      </c>
      <c r="B29" s="4">
        <v>4</v>
      </c>
      <c r="C29" s="4">
        <v>3</v>
      </c>
      <c r="D29" s="4">
        <v>1.4</v>
      </c>
    </row>
    <row r="30" spans="1:4" x14ac:dyDescent="0.25">
      <c r="A30" s="4" t="s">
        <v>35</v>
      </c>
      <c r="B30" s="4">
        <v>5</v>
      </c>
      <c r="C30" s="4">
        <v>1</v>
      </c>
      <c r="D30" s="4">
        <v>1.4</v>
      </c>
    </row>
    <row r="31" spans="1:4" x14ac:dyDescent="0.25">
      <c r="A31" s="4" t="s">
        <v>35</v>
      </c>
      <c r="B31" s="4">
        <v>6</v>
      </c>
      <c r="C31" s="4">
        <v>1</v>
      </c>
      <c r="D31" s="4">
        <v>3</v>
      </c>
    </row>
    <row r="32" spans="1:4" x14ac:dyDescent="0.25">
      <c r="A32" s="4" t="s">
        <v>35</v>
      </c>
      <c r="B32" s="4">
        <v>7</v>
      </c>
      <c r="C32" s="4">
        <v>2</v>
      </c>
      <c r="D32" s="4">
        <v>1.4</v>
      </c>
    </row>
    <row r="33" spans="1:4" x14ac:dyDescent="0.25">
      <c r="A33" s="4" t="s">
        <v>35</v>
      </c>
      <c r="B33" s="4">
        <v>8</v>
      </c>
      <c r="C33" s="4">
        <v>3</v>
      </c>
      <c r="D33" s="4">
        <v>2.1</v>
      </c>
    </row>
    <row r="34" spans="1:4" x14ac:dyDescent="0.25">
      <c r="A34" s="4" t="s">
        <v>35</v>
      </c>
      <c r="B34" s="4">
        <v>9</v>
      </c>
      <c r="C34" s="4">
        <v>1</v>
      </c>
      <c r="D34" s="4">
        <v>2.4</v>
      </c>
    </row>
    <row r="35" spans="1:4" x14ac:dyDescent="0.25">
      <c r="A35" s="4" t="s">
        <v>35</v>
      </c>
      <c r="B35" s="4">
        <v>10</v>
      </c>
      <c r="C35" s="4">
        <v>1</v>
      </c>
      <c r="D35" s="4">
        <v>2.7</v>
      </c>
    </row>
    <row r="36" spans="1:4" x14ac:dyDescent="0.25">
      <c r="A36" s="4" t="s">
        <v>35</v>
      </c>
      <c r="B36" s="4">
        <v>11</v>
      </c>
      <c r="C36" s="4">
        <v>1</v>
      </c>
      <c r="D36" s="4">
        <v>1.4</v>
      </c>
    </row>
    <row r="37" spans="1:4" x14ac:dyDescent="0.25">
      <c r="A37" s="4" t="s">
        <v>35</v>
      </c>
      <c r="B37" s="4">
        <v>12</v>
      </c>
      <c r="C37" s="4">
        <v>1</v>
      </c>
      <c r="D37" s="4">
        <v>2.6</v>
      </c>
    </row>
    <row r="38" spans="1:4" x14ac:dyDescent="0.25">
      <c r="A38" s="4" t="s">
        <v>38</v>
      </c>
      <c r="B38" s="4">
        <v>1</v>
      </c>
      <c r="C38" s="4">
        <v>1</v>
      </c>
      <c r="D38" s="4">
        <v>1.1000000000000001</v>
      </c>
    </row>
    <row r="39" spans="1:4" x14ac:dyDescent="0.25">
      <c r="A39" s="4" t="s">
        <v>38</v>
      </c>
      <c r="B39" s="4">
        <v>2</v>
      </c>
      <c r="C39" s="4">
        <v>1</v>
      </c>
      <c r="D39" s="4">
        <v>3</v>
      </c>
    </row>
    <row r="40" spans="1:4" x14ac:dyDescent="0.25">
      <c r="A40" s="4" t="s">
        <v>38</v>
      </c>
      <c r="B40" s="4">
        <v>3</v>
      </c>
      <c r="C40" s="4">
        <v>1</v>
      </c>
      <c r="D40" s="4">
        <v>2.6</v>
      </c>
    </row>
    <row r="41" spans="1:4" x14ac:dyDescent="0.25">
      <c r="A41" s="4" t="s">
        <v>38</v>
      </c>
      <c r="B41" s="4">
        <v>4</v>
      </c>
      <c r="C41" s="4">
        <v>0</v>
      </c>
      <c r="D41" s="4">
        <v>0</v>
      </c>
    </row>
    <row r="42" spans="1:4" x14ac:dyDescent="0.25">
      <c r="A42" s="4" t="s">
        <v>38</v>
      </c>
      <c r="B42" s="4">
        <v>5</v>
      </c>
      <c r="C42" s="4">
        <v>0</v>
      </c>
      <c r="D42" s="4">
        <v>0</v>
      </c>
    </row>
    <row r="43" spans="1:4" x14ac:dyDescent="0.25">
      <c r="A43" s="4" t="s">
        <v>38</v>
      </c>
      <c r="B43" s="4">
        <v>6</v>
      </c>
      <c r="C43" s="4">
        <v>0</v>
      </c>
      <c r="D43" s="4">
        <v>0</v>
      </c>
    </row>
    <row r="44" spans="1:4" x14ac:dyDescent="0.25">
      <c r="A44" s="4" t="s">
        <v>38</v>
      </c>
      <c r="B44" s="4">
        <v>7</v>
      </c>
      <c r="C44" s="4">
        <v>0</v>
      </c>
      <c r="D44" s="4">
        <v>0</v>
      </c>
    </row>
    <row r="45" spans="1:4" x14ac:dyDescent="0.25">
      <c r="A45" s="4" t="s">
        <v>38</v>
      </c>
      <c r="B45" s="4">
        <v>8</v>
      </c>
      <c r="C45" s="4">
        <v>1</v>
      </c>
      <c r="D45" s="4">
        <v>1.3</v>
      </c>
    </row>
    <row r="46" spans="1:4" x14ac:dyDescent="0.25">
      <c r="A46" s="4" t="s">
        <v>38</v>
      </c>
      <c r="B46" s="4">
        <v>9</v>
      </c>
      <c r="C46" s="4">
        <v>2</v>
      </c>
      <c r="D46" s="4">
        <v>2.2000000000000002</v>
      </c>
    </row>
    <row r="47" spans="1:4" x14ac:dyDescent="0.25">
      <c r="A47" s="4" t="s">
        <v>38</v>
      </c>
      <c r="B47" s="4">
        <v>10</v>
      </c>
      <c r="C47" s="4">
        <v>0</v>
      </c>
      <c r="D47" s="4">
        <v>0</v>
      </c>
    </row>
    <row r="48" spans="1:4" x14ac:dyDescent="0.25">
      <c r="A48" s="4" t="s">
        <v>38</v>
      </c>
      <c r="B48" s="4">
        <v>11</v>
      </c>
      <c r="C48" s="4">
        <v>0</v>
      </c>
      <c r="D48" s="4">
        <v>0</v>
      </c>
    </row>
    <row r="49" spans="1:4" x14ac:dyDescent="0.25">
      <c r="A49" s="4" t="s">
        <v>38</v>
      </c>
      <c r="B49" s="4">
        <v>12</v>
      </c>
      <c r="C49" s="4">
        <v>0</v>
      </c>
      <c r="D49" s="4">
        <v>0</v>
      </c>
    </row>
    <row r="50" spans="1:4" x14ac:dyDescent="0.25">
      <c r="A50" s="4" t="s">
        <v>41</v>
      </c>
      <c r="B50" s="4">
        <v>1</v>
      </c>
      <c r="C50" s="4">
        <v>0</v>
      </c>
      <c r="D50" s="4">
        <v>0</v>
      </c>
    </row>
    <row r="51" spans="1:4" x14ac:dyDescent="0.25">
      <c r="A51" s="4" t="s">
        <v>41</v>
      </c>
      <c r="B51" s="4">
        <v>2</v>
      </c>
      <c r="C51" s="4">
        <v>0</v>
      </c>
      <c r="D51" s="4">
        <v>0</v>
      </c>
    </row>
    <row r="52" spans="1:4" x14ac:dyDescent="0.25">
      <c r="A52" s="4" t="s">
        <v>41</v>
      </c>
      <c r="B52" s="4">
        <v>3</v>
      </c>
      <c r="C52" s="4">
        <v>2</v>
      </c>
      <c r="D52" s="4">
        <v>1.6</v>
      </c>
    </row>
    <row r="53" spans="1:4" x14ac:dyDescent="0.25">
      <c r="A53" s="4" t="s">
        <v>41</v>
      </c>
      <c r="B53" s="4">
        <v>4</v>
      </c>
      <c r="C53" s="4">
        <v>1</v>
      </c>
      <c r="D53" s="4">
        <v>1.2</v>
      </c>
    </row>
    <row r="54" spans="1:4" x14ac:dyDescent="0.25">
      <c r="A54" s="4" t="s">
        <v>41</v>
      </c>
      <c r="B54" s="4">
        <v>5</v>
      </c>
      <c r="C54" s="4">
        <v>0</v>
      </c>
      <c r="D54" s="4">
        <v>0</v>
      </c>
    </row>
    <row r="55" spans="1:4" x14ac:dyDescent="0.25">
      <c r="A55" s="4" t="s">
        <v>41</v>
      </c>
      <c r="B55" s="4">
        <v>6</v>
      </c>
      <c r="C55" s="4">
        <v>1</v>
      </c>
      <c r="D55" s="4">
        <v>1.1000000000000001</v>
      </c>
    </row>
    <row r="56" spans="1:4" x14ac:dyDescent="0.25">
      <c r="A56" s="4" t="s">
        <v>41</v>
      </c>
      <c r="B56" s="4">
        <v>7</v>
      </c>
      <c r="C56" s="4">
        <v>0</v>
      </c>
      <c r="D56" s="4">
        <v>0</v>
      </c>
    </row>
    <row r="57" spans="1:4" x14ac:dyDescent="0.25">
      <c r="A57" s="4" t="s">
        <v>41</v>
      </c>
      <c r="B57" s="4">
        <v>8</v>
      </c>
      <c r="C57" s="4">
        <v>1</v>
      </c>
      <c r="D57" s="4">
        <v>2.2000000000000002</v>
      </c>
    </row>
    <row r="58" spans="1:4" x14ac:dyDescent="0.25">
      <c r="A58" s="4" t="s">
        <v>41</v>
      </c>
      <c r="B58" s="4">
        <v>9</v>
      </c>
      <c r="C58" s="4">
        <v>0</v>
      </c>
      <c r="D58" s="4">
        <v>0</v>
      </c>
    </row>
    <row r="59" spans="1:4" x14ac:dyDescent="0.25">
      <c r="A59" s="4" t="s">
        <v>41</v>
      </c>
      <c r="B59" s="4">
        <v>10</v>
      </c>
      <c r="C59" s="4">
        <v>1</v>
      </c>
      <c r="D59" s="4">
        <v>1.9</v>
      </c>
    </row>
    <row r="60" spans="1:4" x14ac:dyDescent="0.25">
      <c r="A60" s="4" t="s">
        <v>41</v>
      </c>
      <c r="B60" s="4">
        <v>11</v>
      </c>
      <c r="C60" s="4">
        <v>0</v>
      </c>
      <c r="D60" s="4">
        <v>0</v>
      </c>
    </row>
    <row r="61" spans="1:4" x14ac:dyDescent="0.25">
      <c r="A61" s="4" t="s">
        <v>41</v>
      </c>
      <c r="B61" s="4">
        <v>12</v>
      </c>
      <c r="C61" s="4">
        <v>0</v>
      </c>
      <c r="D61" s="4">
        <v>0</v>
      </c>
    </row>
    <row r="62" spans="1:4" x14ac:dyDescent="0.25">
      <c r="A62" s="4" t="s">
        <v>44</v>
      </c>
      <c r="B62" s="4">
        <v>1</v>
      </c>
      <c r="C62" s="4">
        <v>0</v>
      </c>
      <c r="D62" s="4">
        <v>0</v>
      </c>
    </row>
    <row r="63" spans="1:4" x14ac:dyDescent="0.25">
      <c r="A63" s="4" t="s">
        <v>44</v>
      </c>
      <c r="B63" s="4">
        <v>2</v>
      </c>
      <c r="C63" s="4">
        <v>0</v>
      </c>
      <c r="D63" s="4">
        <v>0</v>
      </c>
    </row>
    <row r="64" spans="1:4" x14ac:dyDescent="0.25">
      <c r="A64" s="4" t="s">
        <v>44</v>
      </c>
      <c r="B64" s="4">
        <v>3</v>
      </c>
      <c r="C64" s="4">
        <v>0</v>
      </c>
      <c r="D64" s="4">
        <v>0</v>
      </c>
    </row>
    <row r="65" spans="1:4" x14ac:dyDescent="0.25">
      <c r="A65" s="4" t="s">
        <v>44</v>
      </c>
      <c r="B65" s="4">
        <v>4</v>
      </c>
      <c r="C65" s="4">
        <v>0</v>
      </c>
      <c r="D65" s="4">
        <v>0</v>
      </c>
    </row>
    <row r="66" spans="1:4" x14ac:dyDescent="0.25">
      <c r="A66" s="4" t="s">
        <v>44</v>
      </c>
      <c r="B66" s="4">
        <v>5</v>
      </c>
      <c r="C66" s="4">
        <v>0</v>
      </c>
      <c r="D66" s="4">
        <v>0</v>
      </c>
    </row>
    <row r="67" spans="1:4" x14ac:dyDescent="0.25">
      <c r="A67" s="4" t="s">
        <v>44</v>
      </c>
      <c r="B67" s="4">
        <v>6</v>
      </c>
      <c r="C67" s="4">
        <v>0</v>
      </c>
      <c r="D67" s="4">
        <v>0</v>
      </c>
    </row>
    <row r="68" spans="1:4" x14ac:dyDescent="0.25">
      <c r="A68" s="4" t="s">
        <v>44</v>
      </c>
      <c r="B68" s="4">
        <v>7</v>
      </c>
      <c r="C68" s="4">
        <v>0</v>
      </c>
      <c r="D68" s="4">
        <v>0</v>
      </c>
    </row>
    <row r="69" spans="1:4" x14ac:dyDescent="0.25">
      <c r="A69" s="4" t="s">
        <v>44</v>
      </c>
      <c r="B69" s="4">
        <v>8</v>
      </c>
      <c r="C69" s="4">
        <v>0</v>
      </c>
      <c r="D69" s="4">
        <v>0</v>
      </c>
    </row>
    <row r="70" spans="1:4" x14ac:dyDescent="0.25">
      <c r="A70" s="4" t="s">
        <v>44</v>
      </c>
      <c r="B70" s="4">
        <v>9</v>
      </c>
      <c r="C70" s="4">
        <v>0</v>
      </c>
      <c r="D70" s="4">
        <v>0</v>
      </c>
    </row>
    <row r="71" spans="1:4" x14ac:dyDescent="0.25">
      <c r="A71" s="4" t="s">
        <v>44</v>
      </c>
      <c r="B71" s="4">
        <v>10</v>
      </c>
      <c r="C71" s="4">
        <v>0</v>
      </c>
      <c r="D71" s="4">
        <v>0</v>
      </c>
    </row>
    <row r="72" spans="1:4" x14ac:dyDescent="0.25">
      <c r="A72" s="4" t="s">
        <v>44</v>
      </c>
      <c r="B72" s="4">
        <v>11</v>
      </c>
      <c r="C72" s="4">
        <v>0</v>
      </c>
      <c r="D72" s="4">
        <v>0</v>
      </c>
    </row>
    <row r="73" spans="1:4" x14ac:dyDescent="0.25">
      <c r="A73" s="4" t="s">
        <v>44</v>
      </c>
      <c r="B73" s="4">
        <v>12</v>
      </c>
      <c r="C73" s="4">
        <v>0</v>
      </c>
      <c r="D73" s="4">
        <v>0</v>
      </c>
    </row>
    <row r="74" spans="1:4" x14ac:dyDescent="0.25">
      <c r="A74" s="4" t="s">
        <v>47</v>
      </c>
      <c r="B74" s="4">
        <v>1</v>
      </c>
      <c r="C74" s="4">
        <v>1</v>
      </c>
      <c r="D74" s="4">
        <v>3</v>
      </c>
    </row>
    <row r="75" spans="1:4" x14ac:dyDescent="0.25">
      <c r="A75" s="4" t="s">
        <v>47</v>
      </c>
      <c r="B75" s="4">
        <v>2</v>
      </c>
      <c r="C75" s="4">
        <v>1</v>
      </c>
      <c r="D75" s="4">
        <v>2.7</v>
      </c>
    </row>
    <row r="76" spans="1:4" x14ac:dyDescent="0.25">
      <c r="A76" s="4" t="s">
        <v>47</v>
      </c>
      <c r="B76" s="4">
        <v>3</v>
      </c>
      <c r="C76" s="4">
        <v>0</v>
      </c>
      <c r="D76" s="4">
        <v>0</v>
      </c>
    </row>
    <row r="77" spans="1:4" x14ac:dyDescent="0.25">
      <c r="A77" s="4" t="s">
        <v>47</v>
      </c>
      <c r="B77" s="4">
        <v>4</v>
      </c>
      <c r="C77" s="4">
        <v>0</v>
      </c>
      <c r="D77" s="4">
        <v>0</v>
      </c>
    </row>
    <row r="78" spans="1:4" x14ac:dyDescent="0.25">
      <c r="A78" s="4" t="s">
        <v>47</v>
      </c>
      <c r="B78" s="4">
        <v>5</v>
      </c>
      <c r="C78" s="4">
        <v>0</v>
      </c>
      <c r="D78" s="4">
        <v>0</v>
      </c>
    </row>
    <row r="79" spans="1:4" x14ac:dyDescent="0.25">
      <c r="A79" s="4" t="s">
        <v>47</v>
      </c>
      <c r="B79" s="4">
        <v>6</v>
      </c>
      <c r="C79" s="4">
        <v>0</v>
      </c>
      <c r="D79" s="4">
        <v>0</v>
      </c>
    </row>
    <row r="80" spans="1:4" x14ac:dyDescent="0.25">
      <c r="A80" s="4" t="s">
        <v>47</v>
      </c>
      <c r="B80" s="4">
        <v>7</v>
      </c>
      <c r="C80" s="4">
        <v>0</v>
      </c>
      <c r="D80" s="4">
        <v>0</v>
      </c>
    </row>
    <row r="81" spans="1:4" x14ac:dyDescent="0.25">
      <c r="A81" s="4" t="s">
        <v>47</v>
      </c>
      <c r="B81" s="4">
        <v>8</v>
      </c>
      <c r="C81" s="4">
        <v>0</v>
      </c>
      <c r="D81" s="4">
        <v>0</v>
      </c>
    </row>
    <row r="82" spans="1:4" x14ac:dyDescent="0.25">
      <c r="A82" s="4" t="s">
        <v>47</v>
      </c>
      <c r="B82" s="4">
        <v>9</v>
      </c>
      <c r="C82" s="4">
        <v>0</v>
      </c>
      <c r="D82" s="4">
        <v>0</v>
      </c>
    </row>
    <row r="83" spans="1:4" x14ac:dyDescent="0.25">
      <c r="A83" s="4" t="s">
        <v>47</v>
      </c>
      <c r="B83" s="4">
        <v>10</v>
      </c>
      <c r="C83" s="4">
        <v>0</v>
      </c>
      <c r="D83" s="4">
        <v>0</v>
      </c>
    </row>
    <row r="84" spans="1:4" x14ac:dyDescent="0.25">
      <c r="A84" s="4" t="s">
        <v>47</v>
      </c>
      <c r="B84" s="4">
        <v>11</v>
      </c>
      <c r="C84" s="4">
        <v>1</v>
      </c>
      <c r="D84" s="4">
        <v>2.1</v>
      </c>
    </row>
    <row r="85" spans="1:4" x14ac:dyDescent="0.25">
      <c r="A85" s="4" t="s">
        <v>47</v>
      </c>
      <c r="B85" s="4">
        <v>12</v>
      </c>
      <c r="C85" s="4">
        <v>0</v>
      </c>
      <c r="D85" s="4">
        <v>0</v>
      </c>
    </row>
    <row r="86" spans="1:4" x14ac:dyDescent="0.25">
      <c r="A86" s="4" t="s">
        <v>49</v>
      </c>
      <c r="B86" s="4">
        <v>1</v>
      </c>
      <c r="C86" s="4">
        <v>0</v>
      </c>
      <c r="D86" s="4">
        <v>0</v>
      </c>
    </row>
    <row r="87" spans="1:4" x14ac:dyDescent="0.25">
      <c r="A87" s="4" t="s">
        <v>49</v>
      </c>
      <c r="B87" s="4">
        <v>2</v>
      </c>
      <c r="C87" s="4">
        <v>1</v>
      </c>
      <c r="D87" s="4">
        <v>2.5</v>
      </c>
    </row>
    <row r="88" spans="1:4" x14ac:dyDescent="0.25">
      <c r="A88" s="4" t="s">
        <v>49</v>
      </c>
      <c r="B88" s="4">
        <v>3</v>
      </c>
      <c r="C88" s="4">
        <v>0</v>
      </c>
      <c r="D88" s="4">
        <v>0</v>
      </c>
    </row>
    <row r="89" spans="1:4" x14ac:dyDescent="0.25">
      <c r="A89" s="4" t="s">
        <v>49</v>
      </c>
      <c r="B89" s="4">
        <v>4</v>
      </c>
      <c r="C89" s="4">
        <v>0</v>
      </c>
      <c r="D89" s="4">
        <v>0</v>
      </c>
    </row>
    <row r="90" spans="1:4" x14ac:dyDescent="0.25">
      <c r="A90" s="4" t="s">
        <v>49</v>
      </c>
      <c r="B90" s="4">
        <v>5</v>
      </c>
      <c r="C90" s="4">
        <v>1</v>
      </c>
      <c r="D90" s="4">
        <v>2.2000000000000002</v>
      </c>
    </row>
    <row r="91" spans="1:4" x14ac:dyDescent="0.25">
      <c r="A91" s="4" t="s">
        <v>49</v>
      </c>
      <c r="B91" s="4">
        <v>6</v>
      </c>
      <c r="C91" s="4">
        <v>0</v>
      </c>
      <c r="D91" s="4">
        <v>0</v>
      </c>
    </row>
    <row r="92" spans="1:4" x14ac:dyDescent="0.25">
      <c r="A92" s="4" t="s">
        <v>49</v>
      </c>
      <c r="B92" s="4">
        <v>7</v>
      </c>
      <c r="C92" s="4">
        <v>0</v>
      </c>
      <c r="D92" s="4">
        <v>0</v>
      </c>
    </row>
    <row r="93" spans="1:4" x14ac:dyDescent="0.25">
      <c r="A93" s="4" t="s">
        <v>49</v>
      </c>
      <c r="B93" s="4">
        <v>8</v>
      </c>
      <c r="C93" s="4">
        <v>1</v>
      </c>
      <c r="D93" s="4">
        <v>1.9</v>
      </c>
    </row>
    <row r="94" spans="1:4" x14ac:dyDescent="0.25">
      <c r="A94" s="4" t="s">
        <v>49</v>
      </c>
      <c r="B94" s="4">
        <v>9</v>
      </c>
      <c r="C94" s="4">
        <v>0</v>
      </c>
      <c r="D94" s="4">
        <v>0</v>
      </c>
    </row>
    <row r="95" spans="1:4" x14ac:dyDescent="0.25">
      <c r="A95" s="4" t="s">
        <v>49</v>
      </c>
      <c r="B95" s="4">
        <v>10</v>
      </c>
      <c r="C95" s="4">
        <v>0</v>
      </c>
      <c r="D95" s="4">
        <v>0</v>
      </c>
    </row>
    <row r="96" spans="1:4" x14ac:dyDescent="0.25">
      <c r="A96" s="4" t="s">
        <v>49</v>
      </c>
      <c r="B96" s="4">
        <v>11</v>
      </c>
      <c r="C96" s="4">
        <v>0</v>
      </c>
      <c r="D96" s="4">
        <v>0</v>
      </c>
    </row>
    <row r="97" spans="1:4" x14ac:dyDescent="0.25">
      <c r="A97" s="4" t="s">
        <v>49</v>
      </c>
      <c r="B97" s="4">
        <v>12</v>
      </c>
      <c r="C97" s="4">
        <v>0</v>
      </c>
      <c r="D97" s="4">
        <v>0</v>
      </c>
    </row>
    <row r="98" spans="1:4" x14ac:dyDescent="0.25">
      <c r="A98" s="4" t="s">
        <v>52</v>
      </c>
      <c r="B98" s="4">
        <v>1</v>
      </c>
      <c r="C98" s="4">
        <v>1</v>
      </c>
      <c r="D98" s="4">
        <v>2.8</v>
      </c>
    </row>
    <row r="99" spans="1:4" x14ac:dyDescent="0.25">
      <c r="A99" s="4" t="s">
        <v>52</v>
      </c>
      <c r="B99" s="4">
        <v>2</v>
      </c>
      <c r="C99" s="4">
        <v>0</v>
      </c>
      <c r="D99" s="4">
        <v>0</v>
      </c>
    </row>
    <row r="100" spans="1:4" x14ac:dyDescent="0.25">
      <c r="A100" s="4" t="s">
        <v>52</v>
      </c>
      <c r="B100" s="4">
        <v>3</v>
      </c>
      <c r="C100" s="4">
        <v>0</v>
      </c>
      <c r="D100" s="4">
        <v>0</v>
      </c>
    </row>
    <row r="101" spans="1:4" x14ac:dyDescent="0.25">
      <c r="A101" s="4" t="s">
        <v>52</v>
      </c>
      <c r="B101" s="4">
        <v>4</v>
      </c>
      <c r="C101" s="4">
        <v>0</v>
      </c>
      <c r="D101" s="4">
        <v>0</v>
      </c>
    </row>
    <row r="102" spans="1:4" x14ac:dyDescent="0.25">
      <c r="A102" s="4" t="s">
        <v>52</v>
      </c>
      <c r="B102" s="4">
        <v>5</v>
      </c>
      <c r="C102" s="4">
        <v>1</v>
      </c>
      <c r="D102" s="4">
        <v>1.7</v>
      </c>
    </row>
    <row r="103" spans="1:4" x14ac:dyDescent="0.25">
      <c r="A103" s="4" t="s">
        <v>52</v>
      </c>
      <c r="B103" s="4">
        <v>6</v>
      </c>
      <c r="C103" s="4">
        <v>0</v>
      </c>
      <c r="D103" s="4">
        <v>0</v>
      </c>
    </row>
    <row r="104" spans="1:4" x14ac:dyDescent="0.25">
      <c r="A104" s="4" t="s">
        <v>52</v>
      </c>
      <c r="B104" s="4">
        <v>7</v>
      </c>
      <c r="C104" s="4">
        <v>0</v>
      </c>
      <c r="D104" s="4">
        <v>0</v>
      </c>
    </row>
    <row r="105" spans="1:4" x14ac:dyDescent="0.25">
      <c r="A105" s="4" t="s">
        <v>52</v>
      </c>
      <c r="B105" s="4">
        <v>8</v>
      </c>
      <c r="C105" s="4">
        <v>0</v>
      </c>
      <c r="D105" s="4">
        <v>0</v>
      </c>
    </row>
    <row r="106" spans="1:4" x14ac:dyDescent="0.25">
      <c r="A106" s="4" t="s">
        <v>52</v>
      </c>
      <c r="B106" s="4">
        <v>9</v>
      </c>
      <c r="C106" s="4">
        <v>0</v>
      </c>
      <c r="D106" s="4">
        <v>0</v>
      </c>
    </row>
    <row r="107" spans="1:4" x14ac:dyDescent="0.25">
      <c r="A107" s="4" t="s">
        <v>52</v>
      </c>
      <c r="B107" s="4">
        <v>10</v>
      </c>
      <c r="C107" s="4">
        <v>1</v>
      </c>
      <c r="D107" s="4">
        <v>2.6</v>
      </c>
    </row>
    <row r="108" spans="1:4" x14ac:dyDescent="0.25">
      <c r="A108" s="4" t="s">
        <v>52</v>
      </c>
      <c r="B108" s="4">
        <v>11</v>
      </c>
      <c r="C108" s="4">
        <v>0</v>
      </c>
      <c r="D108" s="4">
        <v>0</v>
      </c>
    </row>
    <row r="109" spans="1:4" x14ac:dyDescent="0.25">
      <c r="A109" s="4" t="s">
        <v>52</v>
      </c>
      <c r="B109" s="4">
        <v>12</v>
      </c>
      <c r="C109" s="4">
        <v>0</v>
      </c>
      <c r="D109" s="4">
        <v>0</v>
      </c>
    </row>
    <row r="110" spans="1:4" x14ac:dyDescent="0.25">
      <c r="A110" s="4" t="s">
        <v>56</v>
      </c>
      <c r="B110" s="4">
        <v>1</v>
      </c>
      <c r="C110" s="4">
        <v>0</v>
      </c>
      <c r="D110" s="4">
        <v>0</v>
      </c>
    </row>
    <row r="111" spans="1:4" x14ac:dyDescent="0.25">
      <c r="A111" s="4" t="s">
        <v>56</v>
      </c>
      <c r="B111" s="4">
        <v>2</v>
      </c>
      <c r="C111" s="4">
        <v>0</v>
      </c>
      <c r="D111" s="4">
        <v>0</v>
      </c>
    </row>
    <row r="112" spans="1:4" x14ac:dyDescent="0.25">
      <c r="A112" s="4" t="s">
        <v>56</v>
      </c>
      <c r="B112" s="4">
        <v>3</v>
      </c>
      <c r="C112" s="4">
        <v>0</v>
      </c>
      <c r="D112" s="4">
        <v>0</v>
      </c>
    </row>
    <row r="113" spans="1:4" x14ac:dyDescent="0.25">
      <c r="A113" s="4" t="s">
        <v>56</v>
      </c>
      <c r="B113" s="4">
        <v>4</v>
      </c>
      <c r="C113" s="4">
        <v>0</v>
      </c>
      <c r="D113" s="4">
        <v>0</v>
      </c>
    </row>
    <row r="114" spans="1:4" x14ac:dyDescent="0.25">
      <c r="A114" s="4" t="s">
        <v>56</v>
      </c>
      <c r="B114" s="4">
        <v>5</v>
      </c>
      <c r="C114" s="4">
        <v>0</v>
      </c>
      <c r="D114" s="4">
        <v>0</v>
      </c>
    </row>
    <row r="115" spans="1:4" x14ac:dyDescent="0.25">
      <c r="A115" s="4" t="s">
        <v>56</v>
      </c>
      <c r="B115" s="4">
        <v>6</v>
      </c>
      <c r="C115" s="4">
        <v>0</v>
      </c>
      <c r="D115" s="4">
        <v>0</v>
      </c>
    </row>
    <row r="116" spans="1:4" x14ac:dyDescent="0.25">
      <c r="A116" s="4" t="s">
        <v>56</v>
      </c>
      <c r="B116" s="4">
        <v>7</v>
      </c>
      <c r="C116" s="4">
        <v>1</v>
      </c>
      <c r="D116" s="4">
        <v>2.8</v>
      </c>
    </row>
    <row r="117" spans="1:4" x14ac:dyDescent="0.25">
      <c r="A117" s="4" t="s">
        <v>56</v>
      </c>
      <c r="B117" s="4">
        <v>8</v>
      </c>
      <c r="C117" s="4">
        <v>0</v>
      </c>
      <c r="D117" s="4">
        <v>0</v>
      </c>
    </row>
    <row r="118" spans="1:4" x14ac:dyDescent="0.25">
      <c r="A118" s="4" t="s">
        <v>56</v>
      </c>
      <c r="B118" s="4">
        <v>9</v>
      </c>
      <c r="C118" s="4">
        <v>0</v>
      </c>
      <c r="D118" s="4">
        <v>0</v>
      </c>
    </row>
    <row r="119" spans="1:4" x14ac:dyDescent="0.25">
      <c r="A119" s="4" t="s">
        <v>56</v>
      </c>
      <c r="B119" s="4">
        <v>10</v>
      </c>
      <c r="C119" s="4">
        <v>0</v>
      </c>
      <c r="D119" s="4">
        <v>0</v>
      </c>
    </row>
    <row r="120" spans="1:4" x14ac:dyDescent="0.25">
      <c r="A120" s="4" t="s">
        <v>56</v>
      </c>
      <c r="B120" s="4">
        <v>11</v>
      </c>
      <c r="C120" s="4">
        <v>0</v>
      </c>
      <c r="D120" s="4">
        <v>0</v>
      </c>
    </row>
    <row r="121" spans="1:4" x14ac:dyDescent="0.25">
      <c r="A121" s="4" t="s">
        <v>56</v>
      </c>
      <c r="B121" s="4">
        <v>12</v>
      </c>
      <c r="C121" s="4">
        <v>0</v>
      </c>
      <c r="D121" s="4">
        <v>0</v>
      </c>
    </row>
    <row r="122" spans="1:4" x14ac:dyDescent="0.25">
      <c r="A122" s="4" t="s">
        <v>58</v>
      </c>
      <c r="B122" s="4">
        <v>1</v>
      </c>
      <c r="C122" s="4">
        <v>0</v>
      </c>
      <c r="D122" s="4">
        <v>0</v>
      </c>
    </row>
    <row r="123" spans="1:4" x14ac:dyDescent="0.25">
      <c r="A123" s="4" t="s">
        <v>58</v>
      </c>
      <c r="B123" s="4">
        <v>2</v>
      </c>
      <c r="C123" s="4">
        <v>0</v>
      </c>
      <c r="D123" s="4">
        <v>0</v>
      </c>
    </row>
    <row r="124" spans="1:4" x14ac:dyDescent="0.25">
      <c r="A124" s="4" t="s">
        <v>58</v>
      </c>
      <c r="B124" s="4">
        <v>3</v>
      </c>
      <c r="C124" s="4">
        <v>1</v>
      </c>
      <c r="D124" s="4">
        <v>2.1</v>
      </c>
    </row>
    <row r="125" spans="1:4" x14ac:dyDescent="0.25">
      <c r="A125" s="4" t="s">
        <v>58</v>
      </c>
      <c r="B125" s="4">
        <v>4</v>
      </c>
      <c r="C125" s="4">
        <v>0</v>
      </c>
      <c r="D125" s="4">
        <v>0</v>
      </c>
    </row>
    <row r="126" spans="1:4" x14ac:dyDescent="0.25">
      <c r="A126" s="4" t="s">
        <v>58</v>
      </c>
      <c r="B126" s="4">
        <v>5</v>
      </c>
      <c r="C126" s="4">
        <v>0</v>
      </c>
      <c r="D126" s="4">
        <v>0</v>
      </c>
    </row>
    <row r="127" spans="1:4" x14ac:dyDescent="0.25">
      <c r="A127" s="4" t="s">
        <v>58</v>
      </c>
      <c r="B127" s="4">
        <v>6</v>
      </c>
      <c r="C127" s="4">
        <v>1</v>
      </c>
      <c r="D127" s="4">
        <v>2.9</v>
      </c>
    </row>
    <row r="128" spans="1:4" x14ac:dyDescent="0.25">
      <c r="A128" s="4" t="s">
        <v>58</v>
      </c>
      <c r="B128" s="4">
        <v>7</v>
      </c>
      <c r="C128" s="4">
        <v>1</v>
      </c>
      <c r="D128" s="4">
        <v>2.4</v>
      </c>
    </row>
    <row r="129" spans="1:4" x14ac:dyDescent="0.25">
      <c r="A129" s="4" t="s">
        <v>58</v>
      </c>
      <c r="B129" s="4">
        <v>8</v>
      </c>
      <c r="C129" s="4">
        <v>0</v>
      </c>
      <c r="D129" s="4">
        <v>0</v>
      </c>
    </row>
    <row r="130" spans="1:4" x14ac:dyDescent="0.25">
      <c r="A130" s="4" t="s">
        <v>58</v>
      </c>
      <c r="B130" s="4">
        <v>9</v>
      </c>
      <c r="C130" s="4">
        <v>1</v>
      </c>
      <c r="D130" s="4">
        <v>2.1</v>
      </c>
    </row>
    <row r="131" spans="1:4" x14ac:dyDescent="0.25">
      <c r="A131" s="4" t="s">
        <v>58</v>
      </c>
      <c r="B131" s="4">
        <v>10</v>
      </c>
      <c r="C131" s="4">
        <v>0</v>
      </c>
      <c r="D131" s="4">
        <v>0</v>
      </c>
    </row>
    <row r="132" spans="1:4" x14ac:dyDescent="0.25">
      <c r="A132" s="4" t="s">
        <v>58</v>
      </c>
      <c r="B132" s="4">
        <v>11</v>
      </c>
      <c r="C132" s="4">
        <v>0</v>
      </c>
      <c r="D132" s="4">
        <v>0</v>
      </c>
    </row>
    <row r="133" spans="1:4" x14ac:dyDescent="0.25">
      <c r="A133" s="4" t="s">
        <v>58</v>
      </c>
      <c r="B133" s="4">
        <v>12</v>
      </c>
      <c r="C133" s="4">
        <v>3</v>
      </c>
      <c r="D133" s="4">
        <v>2.8</v>
      </c>
    </row>
    <row r="134" spans="1:4" x14ac:dyDescent="0.25">
      <c r="A134" s="4" t="s">
        <v>61</v>
      </c>
      <c r="B134" s="4">
        <v>1</v>
      </c>
      <c r="C134" s="4">
        <v>0</v>
      </c>
      <c r="D134" s="4">
        <v>0</v>
      </c>
    </row>
    <row r="135" spans="1:4" x14ac:dyDescent="0.25">
      <c r="A135" s="4" t="s">
        <v>61</v>
      </c>
      <c r="B135" s="4">
        <v>2</v>
      </c>
      <c r="C135" s="4">
        <v>1</v>
      </c>
      <c r="D135" s="4">
        <v>1.6</v>
      </c>
    </row>
    <row r="136" spans="1:4" x14ac:dyDescent="0.25">
      <c r="A136" s="4" t="s">
        <v>61</v>
      </c>
      <c r="B136" s="4">
        <v>3</v>
      </c>
      <c r="C136" s="4">
        <v>1</v>
      </c>
      <c r="D136" s="4">
        <v>1.6</v>
      </c>
    </row>
    <row r="137" spans="1:4" x14ac:dyDescent="0.25">
      <c r="A137" s="4" t="s">
        <v>61</v>
      </c>
      <c r="B137" s="4">
        <v>4</v>
      </c>
      <c r="C137" s="4">
        <v>1</v>
      </c>
      <c r="D137" s="4">
        <v>1.3</v>
      </c>
    </row>
    <row r="138" spans="1:4" x14ac:dyDescent="0.25">
      <c r="A138" s="4" t="s">
        <v>61</v>
      </c>
      <c r="B138" s="4">
        <v>5</v>
      </c>
      <c r="C138" s="4">
        <v>0</v>
      </c>
      <c r="D138" s="4">
        <v>0</v>
      </c>
    </row>
    <row r="139" spans="1:4" x14ac:dyDescent="0.25">
      <c r="A139" s="4" t="s">
        <v>61</v>
      </c>
      <c r="B139" s="4">
        <v>6</v>
      </c>
      <c r="C139" s="4">
        <v>0</v>
      </c>
      <c r="D139" s="4">
        <v>0</v>
      </c>
    </row>
    <row r="140" spans="1:4" x14ac:dyDescent="0.25">
      <c r="A140" s="4" t="s">
        <v>61</v>
      </c>
      <c r="B140" s="4">
        <v>7</v>
      </c>
      <c r="C140" s="4">
        <v>2</v>
      </c>
      <c r="D140" s="4">
        <v>2</v>
      </c>
    </row>
    <row r="141" spans="1:4" x14ac:dyDescent="0.25">
      <c r="A141" s="4" t="s">
        <v>61</v>
      </c>
      <c r="B141" s="4">
        <v>8</v>
      </c>
      <c r="C141" s="4">
        <v>1</v>
      </c>
      <c r="D141" s="4">
        <v>1.7</v>
      </c>
    </row>
    <row r="142" spans="1:4" x14ac:dyDescent="0.25">
      <c r="A142" s="4" t="s">
        <v>61</v>
      </c>
      <c r="B142" s="4">
        <v>9</v>
      </c>
      <c r="C142" s="4">
        <v>0</v>
      </c>
      <c r="D142" s="4">
        <v>0</v>
      </c>
    </row>
    <row r="143" spans="1:4" x14ac:dyDescent="0.25">
      <c r="A143" s="4" t="s">
        <v>61</v>
      </c>
      <c r="B143" s="4">
        <v>10</v>
      </c>
      <c r="C143" s="4">
        <v>1</v>
      </c>
      <c r="D143" s="4">
        <v>3</v>
      </c>
    </row>
    <row r="144" spans="1:4" x14ac:dyDescent="0.25">
      <c r="A144" s="4" t="s">
        <v>61</v>
      </c>
      <c r="B144" s="4">
        <v>11</v>
      </c>
      <c r="C144" s="4">
        <v>0</v>
      </c>
      <c r="D144" s="4">
        <v>0</v>
      </c>
    </row>
    <row r="145" spans="1:4" x14ac:dyDescent="0.25">
      <c r="A145" s="4" t="s">
        <v>61</v>
      </c>
      <c r="B145" s="4">
        <v>12</v>
      </c>
      <c r="C145" s="4">
        <v>1</v>
      </c>
      <c r="D145" s="4">
        <v>2.2999999999999998</v>
      </c>
    </row>
    <row r="146" spans="1:4" x14ac:dyDescent="0.25">
      <c r="A146" s="4" t="s">
        <v>63</v>
      </c>
      <c r="B146" s="4">
        <v>1</v>
      </c>
      <c r="C146" s="4">
        <v>1</v>
      </c>
      <c r="D146" s="4">
        <v>2.6</v>
      </c>
    </row>
    <row r="147" spans="1:4" x14ac:dyDescent="0.25">
      <c r="A147" s="4" t="s">
        <v>63</v>
      </c>
      <c r="B147" s="4">
        <v>2</v>
      </c>
      <c r="C147" s="4">
        <v>0</v>
      </c>
      <c r="D147" s="4">
        <v>0</v>
      </c>
    </row>
    <row r="148" spans="1:4" x14ac:dyDescent="0.25">
      <c r="A148" s="4" t="s">
        <v>63</v>
      </c>
      <c r="B148" s="4">
        <v>3</v>
      </c>
      <c r="C148" s="4">
        <v>0</v>
      </c>
      <c r="D148" s="4">
        <v>0</v>
      </c>
    </row>
    <row r="149" spans="1:4" x14ac:dyDescent="0.25">
      <c r="A149" s="4" t="s">
        <v>63</v>
      </c>
      <c r="B149" s="4">
        <v>4</v>
      </c>
      <c r="C149" s="4">
        <v>0</v>
      </c>
      <c r="D149" s="4">
        <v>0</v>
      </c>
    </row>
    <row r="150" spans="1:4" x14ac:dyDescent="0.25">
      <c r="A150" s="4" t="s">
        <v>63</v>
      </c>
      <c r="B150" s="4">
        <v>5</v>
      </c>
      <c r="C150" s="4">
        <v>1</v>
      </c>
      <c r="D150" s="4">
        <v>2.7</v>
      </c>
    </row>
    <row r="151" spans="1:4" x14ac:dyDescent="0.25">
      <c r="A151" s="4" t="s">
        <v>63</v>
      </c>
      <c r="B151" s="4">
        <v>6</v>
      </c>
      <c r="C151" s="4">
        <v>0</v>
      </c>
      <c r="D151" s="4">
        <v>0</v>
      </c>
    </row>
    <row r="152" spans="1:4" x14ac:dyDescent="0.25">
      <c r="A152" s="4" t="s">
        <v>63</v>
      </c>
      <c r="B152" s="4">
        <v>7</v>
      </c>
      <c r="C152" s="4">
        <v>1</v>
      </c>
      <c r="D152" s="4">
        <v>1</v>
      </c>
    </row>
    <row r="153" spans="1:4" x14ac:dyDescent="0.25">
      <c r="A153" s="4" t="s">
        <v>63</v>
      </c>
      <c r="B153" s="4">
        <v>8</v>
      </c>
      <c r="C153" s="4">
        <v>0</v>
      </c>
      <c r="D153" s="4">
        <v>0</v>
      </c>
    </row>
    <row r="154" spans="1:4" x14ac:dyDescent="0.25">
      <c r="A154" s="4" t="s">
        <v>63</v>
      </c>
      <c r="B154" s="4">
        <v>9</v>
      </c>
      <c r="C154" s="4">
        <v>1</v>
      </c>
      <c r="D154" s="4">
        <v>2.1</v>
      </c>
    </row>
    <row r="155" spans="1:4" x14ac:dyDescent="0.25">
      <c r="A155" s="4" t="s">
        <v>63</v>
      </c>
      <c r="B155" s="4">
        <v>10</v>
      </c>
      <c r="C155" s="4">
        <v>0</v>
      </c>
      <c r="D155" s="4">
        <v>0</v>
      </c>
    </row>
    <row r="156" spans="1:4" x14ac:dyDescent="0.25">
      <c r="A156" s="4" t="s">
        <v>63</v>
      </c>
      <c r="B156" s="4">
        <v>11</v>
      </c>
      <c r="C156" s="4">
        <v>0</v>
      </c>
      <c r="D156" s="4">
        <v>0</v>
      </c>
    </row>
    <row r="157" spans="1:4" x14ac:dyDescent="0.25">
      <c r="A157" s="4" t="s">
        <v>63</v>
      </c>
      <c r="B157" s="4">
        <v>12</v>
      </c>
      <c r="C157" s="4">
        <v>1</v>
      </c>
      <c r="D157" s="4">
        <v>2.7</v>
      </c>
    </row>
    <row r="158" spans="1:4" x14ac:dyDescent="0.25">
      <c r="A158" s="4" t="s">
        <v>66</v>
      </c>
      <c r="B158" s="4">
        <v>1</v>
      </c>
      <c r="C158" s="4">
        <v>0</v>
      </c>
      <c r="D158" s="4">
        <v>0</v>
      </c>
    </row>
    <row r="159" spans="1:4" x14ac:dyDescent="0.25">
      <c r="A159" s="4" t="s">
        <v>66</v>
      </c>
      <c r="B159" s="4">
        <v>2</v>
      </c>
      <c r="C159" s="4">
        <v>2</v>
      </c>
      <c r="D159" s="4">
        <v>2.4</v>
      </c>
    </row>
    <row r="160" spans="1:4" x14ac:dyDescent="0.25">
      <c r="A160" s="4" t="s">
        <v>66</v>
      </c>
      <c r="B160" s="4">
        <v>3</v>
      </c>
      <c r="C160" s="4">
        <v>1</v>
      </c>
      <c r="D160" s="4">
        <v>1.2</v>
      </c>
    </row>
    <row r="161" spans="1:4" x14ac:dyDescent="0.25">
      <c r="A161" s="4" t="s">
        <v>66</v>
      </c>
      <c r="B161" s="4">
        <v>4</v>
      </c>
      <c r="C161" s="4">
        <v>2</v>
      </c>
      <c r="D161" s="4">
        <v>2.2999999999999998</v>
      </c>
    </row>
    <row r="162" spans="1:4" x14ac:dyDescent="0.25">
      <c r="A162" s="4" t="s">
        <v>66</v>
      </c>
      <c r="B162" s="4">
        <v>5</v>
      </c>
      <c r="C162" s="4">
        <v>1</v>
      </c>
      <c r="D162" s="4">
        <v>2.1</v>
      </c>
    </row>
    <row r="163" spans="1:4" x14ac:dyDescent="0.25">
      <c r="A163" s="4" t="s">
        <v>66</v>
      </c>
      <c r="B163" s="4">
        <v>6</v>
      </c>
      <c r="C163" s="4">
        <v>1</v>
      </c>
      <c r="D163" s="4">
        <v>2.4</v>
      </c>
    </row>
    <row r="164" spans="1:4" x14ac:dyDescent="0.25">
      <c r="A164" s="4" t="s">
        <v>66</v>
      </c>
      <c r="B164" s="4">
        <v>7</v>
      </c>
      <c r="C164" s="4">
        <v>0</v>
      </c>
      <c r="D164" s="4">
        <v>0</v>
      </c>
    </row>
    <row r="165" spans="1:4" x14ac:dyDescent="0.25">
      <c r="A165" s="4" t="s">
        <v>66</v>
      </c>
      <c r="B165" s="4">
        <v>8</v>
      </c>
      <c r="C165" s="4">
        <v>1</v>
      </c>
      <c r="D165" s="4">
        <v>1.5</v>
      </c>
    </row>
    <row r="166" spans="1:4" x14ac:dyDescent="0.25">
      <c r="A166" s="4" t="s">
        <v>66</v>
      </c>
      <c r="B166" s="4">
        <v>9</v>
      </c>
      <c r="C166" s="4">
        <v>2</v>
      </c>
      <c r="D166" s="4">
        <v>1.2</v>
      </c>
    </row>
    <row r="167" spans="1:4" x14ac:dyDescent="0.25">
      <c r="A167" s="4" t="s">
        <v>66</v>
      </c>
      <c r="B167" s="4">
        <v>10</v>
      </c>
      <c r="C167" s="4">
        <v>2</v>
      </c>
      <c r="D167" s="4">
        <v>1.3</v>
      </c>
    </row>
    <row r="168" spans="1:4" x14ac:dyDescent="0.25">
      <c r="A168" s="4" t="s">
        <v>66</v>
      </c>
      <c r="B168" s="4">
        <v>11</v>
      </c>
      <c r="C168" s="4">
        <v>1</v>
      </c>
      <c r="D168" s="4">
        <v>1.2</v>
      </c>
    </row>
    <row r="169" spans="1:4" x14ac:dyDescent="0.25">
      <c r="A169" s="4" t="s">
        <v>66</v>
      </c>
      <c r="B169" s="4">
        <v>12</v>
      </c>
      <c r="C169" s="4">
        <v>1</v>
      </c>
      <c r="D169" s="4">
        <v>2.1</v>
      </c>
    </row>
    <row r="170" spans="1:4" x14ac:dyDescent="0.25">
      <c r="A170" s="4" t="s">
        <v>68</v>
      </c>
      <c r="B170" s="4">
        <v>1</v>
      </c>
      <c r="C170" s="4">
        <v>0</v>
      </c>
      <c r="D170" s="4">
        <v>0</v>
      </c>
    </row>
    <row r="171" spans="1:4" x14ac:dyDescent="0.25">
      <c r="A171" s="4" t="s">
        <v>68</v>
      </c>
      <c r="B171" s="4">
        <v>2</v>
      </c>
      <c r="C171" s="4">
        <v>1</v>
      </c>
      <c r="D171" s="4">
        <v>2.5</v>
      </c>
    </row>
    <row r="172" spans="1:4" x14ac:dyDescent="0.25">
      <c r="A172" s="4" t="s">
        <v>68</v>
      </c>
      <c r="B172" s="4">
        <v>3</v>
      </c>
      <c r="C172" s="4">
        <v>0</v>
      </c>
      <c r="D172" s="4">
        <v>0</v>
      </c>
    </row>
    <row r="173" spans="1:4" x14ac:dyDescent="0.25">
      <c r="A173" s="4" t="s">
        <v>68</v>
      </c>
      <c r="B173" s="4">
        <v>4</v>
      </c>
      <c r="C173" s="4">
        <v>0</v>
      </c>
      <c r="D173" s="4">
        <v>0</v>
      </c>
    </row>
    <row r="174" spans="1:4" x14ac:dyDescent="0.25">
      <c r="A174" s="4" t="s">
        <v>68</v>
      </c>
      <c r="B174" s="4">
        <v>5</v>
      </c>
      <c r="C174" s="4">
        <v>0</v>
      </c>
      <c r="D174" s="4">
        <v>0</v>
      </c>
    </row>
    <row r="175" spans="1:4" x14ac:dyDescent="0.25">
      <c r="A175" s="4" t="s">
        <v>68</v>
      </c>
      <c r="B175" s="4">
        <v>6</v>
      </c>
      <c r="C175" s="4">
        <v>1</v>
      </c>
      <c r="D175" s="4">
        <v>2.5</v>
      </c>
    </row>
    <row r="176" spans="1:4" x14ac:dyDescent="0.25">
      <c r="A176" s="4" t="s">
        <v>68</v>
      </c>
      <c r="B176" s="4">
        <v>7</v>
      </c>
      <c r="C176" s="4">
        <v>0</v>
      </c>
      <c r="D176" s="4">
        <v>0</v>
      </c>
    </row>
    <row r="177" spans="1:4" x14ac:dyDescent="0.25">
      <c r="A177" s="4" t="s">
        <v>68</v>
      </c>
      <c r="B177" s="4">
        <v>8</v>
      </c>
      <c r="C177" s="4">
        <v>0</v>
      </c>
      <c r="D177" s="4">
        <v>0</v>
      </c>
    </row>
    <row r="178" spans="1:4" x14ac:dyDescent="0.25">
      <c r="A178" s="4" t="s">
        <v>68</v>
      </c>
      <c r="B178" s="4">
        <v>9</v>
      </c>
      <c r="C178" s="4">
        <v>1</v>
      </c>
      <c r="D178" s="4">
        <v>2.7</v>
      </c>
    </row>
    <row r="179" spans="1:4" x14ac:dyDescent="0.25">
      <c r="A179" s="4" t="s">
        <v>68</v>
      </c>
      <c r="B179" s="4">
        <v>10</v>
      </c>
      <c r="C179" s="4">
        <v>0</v>
      </c>
      <c r="D179" s="4">
        <v>0</v>
      </c>
    </row>
    <row r="180" spans="1:4" x14ac:dyDescent="0.25">
      <c r="A180" s="4" t="s">
        <v>68</v>
      </c>
      <c r="B180" s="4">
        <v>11</v>
      </c>
      <c r="C180" s="4">
        <v>1</v>
      </c>
      <c r="D180" s="4">
        <v>2.7</v>
      </c>
    </row>
    <row r="181" spans="1:4" x14ac:dyDescent="0.25">
      <c r="A181" s="4" t="s">
        <v>68</v>
      </c>
      <c r="B181" s="4">
        <v>12</v>
      </c>
      <c r="C181" s="4">
        <v>1</v>
      </c>
      <c r="D181" s="4">
        <v>2.2999999999999998</v>
      </c>
    </row>
    <row r="182" spans="1:4" x14ac:dyDescent="0.25">
      <c r="A182" s="4" t="s">
        <v>72</v>
      </c>
      <c r="B182" s="4">
        <v>1</v>
      </c>
      <c r="C182" s="4">
        <v>2</v>
      </c>
      <c r="D182" s="4">
        <v>1.8</v>
      </c>
    </row>
    <row r="183" spans="1:4" x14ac:dyDescent="0.25">
      <c r="A183" s="4" t="s">
        <v>72</v>
      </c>
      <c r="B183" s="4">
        <v>2</v>
      </c>
      <c r="C183" s="4">
        <v>2</v>
      </c>
      <c r="D183" s="4">
        <v>2.6</v>
      </c>
    </row>
    <row r="184" spans="1:4" x14ac:dyDescent="0.25">
      <c r="A184" s="4" t="s">
        <v>72</v>
      </c>
      <c r="B184" s="4">
        <v>3</v>
      </c>
      <c r="C184" s="4">
        <v>2</v>
      </c>
      <c r="D184" s="4">
        <v>1.3</v>
      </c>
    </row>
    <row r="185" spans="1:4" x14ac:dyDescent="0.25">
      <c r="A185" s="4" t="s">
        <v>72</v>
      </c>
      <c r="B185" s="4">
        <v>4</v>
      </c>
      <c r="C185" s="4">
        <v>1</v>
      </c>
      <c r="D185" s="4">
        <v>2.2999999999999998</v>
      </c>
    </row>
    <row r="186" spans="1:4" x14ac:dyDescent="0.25">
      <c r="A186" s="4" t="s">
        <v>72</v>
      </c>
      <c r="B186" s="4">
        <v>5</v>
      </c>
      <c r="C186" s="4">
        <v>2</v>
      </c>
      <c r="D186" s="4">
        <v>2.5</v>
      </c>
    </row>
    <row r="187" spans="1:4" x14ac:dyDescent="0.25">
      <c r="A187" s="4" t="s">
        <v>72</v>
      </c>
      <c r="B187" s="4">
        <v>6</v>
      </c>
      <c r="C187" s="4">
        <v>3</v>
      </c>
      <c r="D187" s="4">
        <v>2.4</v>
      </c>
    </row>
    <row r="188" spans="1:4" x14ac:dyDescent="0.25">
      <c r="A188" s="4" t="s">
        <v>72</v>
      </c>
      <c r="B188" s="4">
        <v>7</v>
      </c>
      <c r="C188" s="4">
        <v>1</v>
      </c>
      <c r="D188" s="4">
        <v>1.8</v>
      </c>
    </row>
    <row r="189" spans="1:4" x14ac:dyDescent="0.25">
      <c r="A189" s="4" t="s">
        <v>72</v>
      </c>
      <c r="B189" s="4">
        <v>8</v>
      </c>
      <c r="C189" s="4">
        <v>2</v>
      </c>
      <c r="D189" s="4">
        <v>1.4</v>
      </c>
    </row>
    <row r="190" spans="1:4" x14ac:dyDescent="0.25">
      <c r="A190" s="4" t="s">
        <v>72</v>
      </c>
      <c r="B190" s="4">
        <v>9</v>
      </c>
      <c r="C190" s="4">
        <v>3</v>
      </c>
      <c r="D190" s="4">
        <v>1</v>
      </c>
    </row>
    <row r="191" spans="1:4" x14ac:dyDescent="0.25">
      <c r="A191" s="4" t="s">
        <v>72</v>
      </c>
      <c r="B191" s="4">
        <v>10</v>
      </c>
      <c r="C191" s="4">
        <v>2</v>
      </c>
      <c r="D191" s="4">
        <v>2.4</v>
      </c>
    </row>
    <row r="192" spans="1:4" x14ac:dyDescent="0.25">
      <c r="A192" s="4" t="s">
        <v>72</v>
      </c>
      <c r="B192" s="4">
        <v>11</v>
      </c>
      <c r="C192" s="4">
        <v>0</v>
      </c>
      <c r="D192" s="4">
        <v>0</v>
      </c>
    </row>
    <row r="193" spans="1:4" x14ac:dyDescent="0.25">
      <c r="A193" s="4" t="s">
        <v>72</v>
      </c>
      <c r="B193" s="4">
        <v>12</v>
      </c>
      <c r="C193" s="4">
        <v>2</v>
      </c>
      <c r="D193" s="4">
        <v>1</v>
      </c>
    </row>
    <row r="194" spans="1:4" x14ac:dyDescent="0.25">
      <c r="A194" s="4" t="s">
        <v>74</v>
      </c>
      <c r="B194" s="4">
        <v>1</v>
      </c>
      <c r="C194" s="4">
        <v>0</v>
      </c>
      <c r="D194" s="4">
        <v>0</v>
      </c>
    </row>
    <row r="195" spans="1:4" x14ac:dyDescent="0.25">
      <c r="A195" s="4" t="s">
        <v>74</v>
      </c>
      <c r="B195" s="4">
        <v>2</v>
      </c>
      <c r="C195" s="4">
        <v>0</v>
      </c>
      <c r="D195" s="4">
        <v>0</v>
      </c>
    </row>
    <row r="196" spans="1:4" x14ac:dyDescent="0.25">
      <c r="A196" s="4" t="s">
        <v>74</v>
      </c>
      <c r="B196" s="4">
        <v>3</v>
      </c>
      <c r="C196" s="4">
        <v>1</v>
      </c>
      <c r="D196" s="4">
        <v>2.6</v>
      </c>
    </row>
    <row r="197" spans="1:4" x14ac:dyDescent="0.25">
      <c r="A197" s="4" t="s">
        <v>74</v>
      </c>
      <c r="B197" s="4">
        <v>4</v>
      </c>
      <c r="C197" s="4">
        <v>0</v>
      </c>
      <c r="D197" s="4">
        <v>0</v>
      </c>
    </row>
    <row r="198" spans="1:4" x14ac:dyDescent="0.25">
      <c r="A198" s="4" t="s">
        <v>74</v>
      </c>
      <c r="B198" s="4">
        <v>5</v>
      </c>
      <c r="C198" s="4">
        <v>0</v>
      </c>
      <c r="D198" s="4">
        <v>0</v>
      </c>
    </row>
    <row r="199" spans="1:4" x14ac:dyDescent="0.25">
      <c r="A199" s="4" t="s">
        <v>74</v>
      </c>
      <c r="B199" s="4">
        <v>6</v>
      </c>
      <c r="C199" s="4">
        <v>0</v>
      </c>
      <c r="D199" s="4">
        <v>0</v>
      </c>
    </row>
    <row r="200" spans="1:4" x14ac:dyDescent="0.25">
      <c r="A200" s="4" t="s">
        <v>74</v>
      </c>
      <c r="B200" s="4">
        <v>7</v>
      </c>
      <c r="C200" s="4">
        <v>0</v>
      </c>
      <c r="D200" s="4">
        <v>0</v>
      </c>
    </row>
    <row r="201" spans="1:4" x14ac:dyDescent="0.25">
      <c r="A201" s="4" t="s">
        <v>74</v>
      </c>
      <c r="B201" s="4">
        <v>8</v>
      </c>
      <c r="C201" s="4">
        <v>0</v>
      </c>
      <c r="D201" s="4">
        <v>0</v>
      </c>
    </row>
    <row r="202" spans="1:4" x14ac:dyDescent="0.25">
      <c r="A202" s="4" t="s">
        <v>74</v>
      </c>
      <c r="B202" s="4">
        <v>9</v>
      </c>
      <c r="C202" s="4">
        <v>0</v>
      </c>
      <c r="D202" s="4">
        <v>0</v>
      </c>
    </row>
    <row r="203" spans="1:4" x14ac:dyDescent="0.25">
      <c r="A203" s="4" t="s">
        <v>74</v>
      </c>
      <c r="B203" s="4">
        <v>10</v>
      </c>
      <c r="C203" s="4">
        <v>0</v>
      </c>
      <c r="D203" s="4">
        <v>0</v>
      </c>
    </row>
    <row r="204" spans="1:4" x14ac:dyDescent="0.25">
      <c r="A204" s="4" t="s">
        <v>74</v>
      </c>
      <c r="B204" s="4">
        <v>11</v>
      </c>
      <c r="C204" s="4">
        <v>0</v>
      </c>
      <c r="D204" s="4">
        <v>0</v>
      </c>
    </row>
    <row r="205" spans="1:4" x14ac:dyDescent="0.25">
      <c r="A205" s="4" t="s">
        <v>74</v>
      </c>
      <c r="B205" s="4">
        <v>12</v>
      </c>
      <c r="C205" s="4">
        <v>0</v>
      </c>
      <c r="D205" s="4">
        <v>0</v>
      </c>
    </row>
    <row r="206" spans="1:4" x14ac:dyDescent="0.25">
      <c r="A206" s="4" t="s">
        <v>77</v>
      </c>
      <c r="B206" s="4">
        <v>1</v>
      </c>
      <c r="C206" s="4">
        <v>1</v>
      </c>
      <c r="D206" s="4">
        <v>2.5</v>
      </c>
    </row>
    <row r="207" spans="1:4" x14ac:dyDescent="0.25">
      <c r="A207" s="4" t="s">
        <v>77</v>
      </c>
      <c r="B207" s="4">
        <v>2</v>
      </c>
      <c r="C207" s="4">
        <v>0</v>
      </c>
      <c r="D207" s="4">
        <v>0</v>
      </c>
    </row>
    <row r="208" spans="1:4" x14ac:dyDescent="0.25">
      <c r="A208" s="4" t="s">
        <v>77</v>
      </c>
      <c r="B208" s="4">
        <v>3</v>
      </c>
      <c r="C208" s="4">
        <v>0</v>
      </c>
      <c r="D208" s="4">
        <v>0</v>
      </c>
    </row>
    <row r="209" spans="1:4" x14ac:dyDescent="0.25">
      <c r="A209" s="4" t="s">
        <v>77</v>
      </c>
      <c r="B209" s="4">
        <v>4</v>
      </c>
      <c r="C209" s="4">
        <v>1</v>
      </c>
      <c r="D209" s="4">
        <v>1.1000000000000001</v>
      </c>
    </row>
    <row r="210" spans="1:4" x14ac:dyDescent="0.25">
      <c r="A210" s="4" t="s">
        <v>77</v>
      </c>
      <c r="B210" s="4">
        <v>5</v>
      </c>
      <c r="C210" s="4">
        <v>0</v>
      </c>
      <c r="D210" s="4">
        <v>0</v>
      </c>
    </row>
    <row r="211" spans="1:4" x14ac:dyDescent="0.25">
      <c r="A211" s="4" t="s">
        <v>77</v>
      </c>
      <c r="B211" s="4">
        <v>6</v>
      </c>
      <c r="C211" s="4">
        <v>1</v>
      </c>
      <c r="D211" s="4">
        <v>1.9</v>
      </c>
    </row>
    <row r="212" spans="1:4" x14ac:dyDescent="0.25">
      <c r="A212" s="4" t="s">
        <v>77</v>
      </c>
      <c r="B212" s="4">
        <v>7</v>
      </c>
      <c r="C212" s="4">
        <v>2</v>
      </c>
      <c r="D212" s="4">
        <v>2.7</v>
      </c>
    </row>
    <row r="213" spans="1:4" x14ac:dyDescent="0.25">
      <c r="A213" s="4" t="s">
        <v>77</v>
      </c>
      <c r="B213" s="4">
        <v>8</v>
      </c>
      <c r="C213" s="4">
        <v>0</v>
      </c>
      <c r="D213" s="4">
        <v>0</v>
      </c>
    </row>
    <row r="214" spans="1:4" x14ac:dyDescent="0.25">
      <c r="A214" s="4" t="s">
        <v>77</v>
      </c>
      <c r="B214" s="4">
        <v>9</v>
      </c>
      <c r="C214" s="4">
        <v>0</v>
      </c>
      <c r="D214" s="4">
        <v>0</v>
      </c>
    </row>
    <row r="215" spans="1:4" x14ac:dyDescent="0.25">
      <c r="A215" s="4" t="s">
        <v>77</v>
      </c>
      <c r="B215" s="4">
        <v>10</v>
      </c>
      <c r="C215" s="4">
        <v>0</v>
      </c>
      <c r="D215" s="4">
        <v>0</v>
      </c>
    </row>
    <row r="216" spans="1:4" x14ac:dyDescent="0.25">
      <c r="A216" s="4" t="s">
        <v>77</v>
      </c>
      <c r="B216" s="4">
        <v>11</v>
      </c>
      <c r="C216" s="4">
        <v>0</v>
      </c>
      <c r="D216" s="4">
        <v>0</v>
      </c>
    </row>
    <row r="217" spans="1:4" x14ac:dyDescent="0.25">
      <c r="A217" s="4" t="s">
        <v>77</v>
      </c>
      <c r="B217" s="4">
        <v>12</v>
      </c>
      <c r="C217" s="4">
        <v>3</v>
      </c>
      <c r="D217" s="4">
        <v>2.8</v>
      </c>
    </row>
    <row r="218" spans="1:4" x14ac:dyDescent="0.25">
      <c r="A218" s="4" t="s">
        <v>79</v>
      </c>
      <c r="B218" s="4">
        <v>1</v>
      </c>
      <c r="C218" s="4">
        <v>0</v>
      </c>
      <c r="D218" s="4">
        <v>0</v>
      </c>
    </row>
    <row r="219" spans="1:4" x14ac:dyDescent="0.25">
      <c r="A219" s="4" t="s">
        <v>79</v>
      </c>
      <c r="B219" s="4">
        <v>2</v>
      </c>
      <c r="C219" s="4">
        <v>1</v>
      </c>
      <c r="D219" s="4">
        <v>1.9</v>
      </c>
    </row>
    <row r="220" spans="1:4" x14ac:dyDescent="0.25">
      <c r="A220" s="4" t="s">
        <v>79</v>
      </c>
      <c r="B220" s="4">
        <v>3</v>
      </c>
      <c r="C220" s="4">
        <v>1</v>
      </c>
      <c r="D220" s="4">
        <v>1.6</v>
      </c>
    </row>
    <row r="221" spans="1:4" x14ac:dyDescent="0.25">
      <c r="A221" s="4" t="s">
        <v>79</v>
      </c>
      <c r="B221" s="4">
        <v>4</v>
      </c>
      <c r="C221" s="4">
        <v>0</v>
      </c>
      <c r="D221" s="4">
        <v>0</v>
      </c>
    </row>
    <row r="222" spans="1:4" x14ac:dyDescent="0.25">
      <c r="A222" s="4" t="s">
        <v>79</v>
      </c>
      <c r="B222" s="4">
        <v>5</v>
      </c>
      <c r="C222" s="4">
        <v>1</v>
      </c>
      <c r="D222" s="4">
        <v>1.2</v>
      </c>
    </row>
    <row r="223" spans="1:4" x14ac:dyDescent="0.25">
      <c r="A223" s="4" t="s">
        <v>79</v>
      </c>
      <c r="B223" s="4">
        <v>6</v>
      </c>
      <c r="C223" s="4">
        <v>0</v>
      </c>
      <c r="D223" s="4">
        <v>0</v>
      </c>
    </row>
    <row r="224" spans="1:4" x14ac:dyDescent="0.25">
      <c r="A224" s="4" t="s">
        <v>79</v>
      </c>
      <c r="B224" s="4">
        <v>7</v>
      </c>
      <c r="C224" s="4">
        <v>0</v>
      </c>
      <c r="D224" s="4">
        <v>0</v>
      </c>
    </row>
    <row r="225" spans="1:4" x14ac:dyDescent="0.25">
      <c r="A225" s="4" t="s">
        <v>79</v>
      </c>
      <c r="B225" s="4">
        <v>8</v>
      </c>
      <c r="C225" s="4">
        <v>1</v>
      </c>
      <c r="D225" s="4">
        <v>1.7</v>
      </c>
    </row>
    <row r="226" spans="1:4" x14ac:dyDescent="0.25">
      <c r="A226" s="4" t="s">
        <v>79</v>
      </c>
      <c r="B226" s="4">
        <v>9</v>
      </c>
      <c r="C226" s="4">
        <v>0</v>
      </c>
      <c r="D226" s="4">
        <v>0</v>
      </c>
    </row>
    <row r="227" spans="1:4" x14ac:dyDescent="0.25">
      <c r="A227" s="4" t="s">
        <v>79</v>
      </c>
      <c r="B227" s="4">
        <v>10</v>
      </c>
      <c r="C227" s="4">
        <v>0</v>
      </c>
      <c r="D227" s="4">
        <v>0</v>
      </c>
    </row>
    <row r="228" spans="1:4" x14ac:dyDescent="0.25">
      <c r="A228" s="4" t="s">
        <v>79</v>
      </c>
      <c r="B228" s="4">
        <v>11</v>
      </c>
      <c r="C228" s="4">
        <v>0</v>
      </c>
      <c r="D228" s="4">
        <v>0</v>
      </c>
    </row>
    <row r="229" spans="1:4" x14ac:dyDescent="0.25">
      <c r="A229" s="4" t="s">
        <v>79</v>
      </c>
      <c r="B229" s="4">
        <v>12</v>
      </c>
      <c r="C229" s="4">
        <v>0</v>
      </c>
      <c r="D229" s="4">
        <v>0</v>
      </c>
    </row>
    <row r="230" spans="1:4" x14ac:dyDescent="0.25">
      <c r="A230" s="4" t="s">
        <v>82</v>
      </c>
      <c r="B230" s="4">
        <v>1</v>
      </c>
      <c r="C230" s="4">
        <v>0</v>
      </c>
      <c r="D230" s="4">
        <v>0</v>
      </c>
    </row>
    <row r="231" spans="1:4" x14ac:dyDescent="0.25">
      <c r="A231" s="4" t="s">
        <v>82</v>
      </c>
      <c r="B231" s="4">
        <v>2</v>
      </c>
      <c r="C231" s="4">
        <v>3</v>
      </c>
      <c r="D231" s="4">
        <v>1.4</v>
      </c>
    </row>
    <row r="232" spans="1:4" x14ac:dyDescent="0.25">
      <c r="A232" s="4" t="s">
        <v>82</v>
      </c>
      <c r="B232" s="4">
        <v>3</v>
      </c>
      <c r="C232" s="4">
        <v>1</v>
      </c>
      <c r="D232" s="4">
        <v>1.5</v>
      </c>
    </row>
    <row r="233" spans="1:4" x14ac:dyDescent="0.25">
      <c r="A233" s="4" t="s">
        <v>82</v>
      </c>
      <c r="B233" s="4">
        <v>4</v>
      </c>
      <c r="C233" s="4">
        <v>2</v>
      </c>
      <c r="D233" s="4">
        <v>1.2</v>
      </c>
    </row>
    <row r="234" spans="1:4" x14ac:dyDescent="0.25">
      <c r="A234" s="4" t="s">
        <v>82</v>
      </c>
      <c r="B234" s="4">
        <v>5</v>
      </c>
      <c r="C234" s="4">
        <v>0</v>
      </c>
      <c r="D234" s="4">
        <v>0</v>
      </c>
    </row>
    <row r="235" spans="1:4" x14ac:dyDescent="0.25">
      <c r="A235" s="4" t="s">
        <v>82</v>
      </c>
      <c r="B235" s="4">
        <v>6</v>
      </c>
      <c r="C235" s="4">
        <v>2</v>
      </c>
      <c r="D235" s="4">
        <v>1.3</v>
      </c>
    </row>
    <row r="236" spans="1:4" x14ac:dyDescent="0.25">
      <c r="A236" s="4" t="s">
        <v>82</v>
      </c>
      <c r="B236" s="4">
        <v>7</v>
      </c>
      <c r="C236" s="4">
        <v>2</v>
      </c>
      <c r="D236" s="4">
        <v>2.5</v>
      </c>
    </row>
    <row r="237" spans="1:4" x14ac:dyDescent="0.25">
      <c r="A237" s="4" t="s">
        <v>82</v>
      </c>
      <c r="B237" s="4">
        <v>8</v>
      </c>
      <c r="C237" s="4">
        <v>2</v>
      </c>
      <c r="D237" s="4">
        <v>1.8</v>
      </c>
    </row>
    <row r="238" spans="1:4" x14ac:dyDescent="0.25">
      <c r="A238" s="4" t="s">
        <v>82</v>
      </c>
      <c r="B238" s="4">
        <v>9</v>
      </c>
      <c r="C238" s="4">
        <v>2</v>
      </c>
      <c r="D238" s="4">
        <v>1.6</v>
      </c>
    </row>
    <row r="239" spans="1:4" x14ac:dyDescent="0.25">
      <c r="A239" s="4" t="s">
        <v>82</v>
      </c>
      <c r="B239" s="4">
        <v>10</v>
      </c>
      <c r="C239" s="4">
        <v>1</v>
      </c>
      <c r="D239" s="4">
        <v>1.6</v>
      </c>
    </row>
    <row r="240" spans="1:4" x14ac:dyDescent="0.25">
      <c r="A240" s="4" t="s">
        <v>82</v>
      </c>
      <c r="B240" s="4">
        <v>11</v>
      </c>
      <c r="C240" s="4">
        <v>0</v>
      </c>
      <c r="D240" s="4">
        <v>0</v>
      </c>
    </row>
    <row r="241" spans="1:4" x14ac:dyDescent="0.25">
      <c r="A241" s="4" t="s">
        <v>82</v>
      </c>
      <c r="B241" s="4">
        <v>12</v>
      </c>
      <c r="C241" s="4">
        <v>1</v>
      </c>
      <c r="D241" s="4">
        <v>1.9</v>
      </c>
    </row>
    <row r="242" spans="1:4" x14ac:dyDescent="0.25">
      <c r="A242" s="4" t="s">
        <v>84</v>
      </c>
      <c r="B242" s="4">
        <v>1</v>
      </c>
      <c r="C242" s="4">
        <v>2</v>
      </c>
      <c r="D242" s="4">
        <v>2.9</v>
      </c>
    </row>
    <row r="243" spans="1:4" x14ac:dyDescent="0.25">
      <c r="A243" s="4" t="s">
        <v>84</v>
      </c>
      <c r="B243" s="4">
        <v>2</v>
      </c>
      <c r="C243" s="4">
        <v>1</v>
      </c>
      <c r="D243" s="4">
        <v>1.5</v>
      </c>
    </row>
    <row r="244" spans="1:4" x14ac:dyDescent="0.25">
      <c r="A244" s="4" t="s">
        <v>84</v>
      </c>
      <c r="B244" s="4">
        <v>3</v>
      </c>
      <c r="C244" s="4">
        <v>0</v>
      </c>
      <c r="D244" s="4">
        <v>0</v>
      </c>
    </row>
    <row r="245" spans="1:4" x14ac:dyDescent="0.25">
      <c r="A245" s="4" t="s">
        <v>84</v>
      </c>
      <c r="B245" s="4">
        <v>4</v>
      </c>
      <c r="C245" s="4">
        <v>1</v>
      </c>
      <c r="D245" s="4">
        <v>1.6</v>
      </c>
    </row>
    <row r="246" spans="1:4" x14ac:dyDescent="0.25">
      <c r="A246" s="4" t="s">
        <v>84</v>
      </c>
      <c r="B246" s="4">
        <v>5</v>
      </c>
      <c r="C246" s="4">
        <v>1</v>
      </c>
      <c r="D246" s="4">
        <v>1.3</v>
      </c>
    </row>
    <row r="247" spans="1:4" x14ac:dyDescent="0.25">
      <c r="A247" s="4" t="s">
        <v>84</v>
      </c>
      <c r="B247" s="4">
        <v>6</v>
      </c>
      <c r="C247" s="4">
        <v>1</v>
      </c>
      <c r="D247" s="4">
        <v>1.9</v>
      </c>
    </row>
    <row r="248" spans="1:4" x14ac:dyDescent="0.25">
      <c r="A248" s="4" t="s">
        <v>84</v>
      </c>
      <c r="B248" s="4">
        <v>7</v>
      </c>
      <c r="C248" s="4">
        <v>2</v>
      </c>
      <c r="D248" s="4">
        <v>2</v>
      </c>
    </row>
    <row r="249" spans="1:4" x14ac:dyDescent="0.25">
      <c r="A249" s="4" t="s">
        <v>84</v>
      </c>
      <c r="B249" s="4">
        <v>8</v>
      </c>
      <c r="C249" s="4">
        <v>0</v>
      </c>
      <c r="D249" s="4">
        <v>0</v>
      </c>
    </row>
    <row r="250" spans="1:4" x14ac:dyDescent="0.25">
      <c r="A250" s="4" t="s">
        <v>84</v>
      </c>
      <c r="B250" s="4">
        <v>9</v>
      </c>
      <c r="C250" s="4">
        <v>1</v>
      </c>
      <c r="D250" s="4">
        <v>2.2999999999999998</v>
      </c>
    </row>
    <row r="251" spans="1:4" x14ac:dyDescent="0.25">
      <c r="A251" s="4" t="s">
        <v>84</v>
      </c>
      <c r="B251" s="4">
        <v>10</v>
      </c>
      <c r="C251" s="4">
        <v>1</v>
      </c>
      <c r="D251" s="4">
        <v>2.7</v>
      </c>
    </row>
    <row r="252" spans="1:4" x14ac:dyDescent="0.25">
      <c r="A252" s="4" t="s">
        <v>84</v>
      </c>
      <c r="B252" s="4">
        <v>11</v>
      </c>
      <c r="C252" s="4">
        <v>0</v>
      </c>
      <c r="D252" s="4">
        <v>0</v>
      </c>
    </row>
    <row r="253" spans="1:4" x14ac:dyDescent="0.25">
      <c r="A253" s="4" t="s">
        <v>84</v>
      </c>
      <c r="B253" s="4">
        <v>12</v>
      </c>
      <c r="C253" s="4">
        <v>2</v>
      </c>
      <c r="D253" s="4">
        <v>1.5</v>
      </c>
    </row>
    <row r="254" spans="1:4" x14ac:dyDescent="0.25">
      <c r="A254" s="4" t="s">
        <v>86</v>
      </c>
      <c r="B254" s="4">
        <v>1</v>
      </c>
      <c r="C254" s="4">
        <v>0</v>
      </c>
      <c r="D254" s="4">
        <v>0</v>
      </c>
    </row>
    <row r="255" spans="1:4" x14ac:dyDescent="0.25">
      <c r="A255" s="4" t="s">
        <v>86</v>
      </c>
      <c r="B255" s="4">
        <v>2</v>
      </c>
      <c r="C255" s="4">
        <v>0</v>
      </c>
      <c r="D255" s="4">
        <v>0</v>
      </c>
    </row>
    <row r="256" spans="1:4" x14ac:dyDescent="0.25">
      <c r="A256" s="4" t="s">
        <v>86</v>
      </c>
      <c r="B256" s="4">
        <v>3</v>
      </c>
      <c r="C256" s="4">
        <v>1</v>
      </c>
      <c r="D256" s="4">
        <v>2.6</v>
      </c>
    </row>
    <row r="257" spans="1:4" x14ac:dyDescent="0.25">
      <c r="A257" s="4" t="s">
        <v>86</v>
      </c>
      <c r="B257" s="4">
        <v>4</v>
      </c>
      <c r="C257" s="4">
        <v>0</v>
      </c>
      <c r="D257" s="4">
        <v>0</v>
      </c>
    </row>
    <row r="258" spans="1:4" x14ac:dyDescent="0.25">
      <c r="A258" s="4" t="s">
        <v>86</v>
      </c>
      <c r="B258" s="4">
        <v>5</v>
      </c>
      <c r="C258" s="4">
        <v>1</v>
      </c>
      <c r="D258" s="4">
        <v>1.5</v>
      </c>
    </row>
    <row r="259" spans="1:4" x14ac:dyDescent="0.25">
      <c r="A259" s="4" t="s">
        <v>86</v>
      </c>
      <c r="B259" s="4">
        <v>6</v>
      </c>
      <c r="C259" s="4">
        <v>0</v>
      </c>
      <c r="D259" s="4">
        <v>0</v>
      </c>
    </row>
    <row r="260" spans="1:4" x14ac:dyDescent="0.25">
      <c r="A260" s="4" t="s">
        <v>86</v>
      </c>
      <c r="B260" s="4">
        <v>7</v>
      </c>
      <c r="C260" s="4">
        <v>0</v>
      </c>
      <c r="D260" s="4">
        <v>0</v>
      </c>
    </row>
    <row r="261" spans="1:4" x14ac:dyDescent="0.25">
      <c r="A261" s="4" t="s">
        <v>86</v>
      </c>
      <c r="B261" s="4">
        <v>8</v>
      </c>
      <c r="C261" s="4">
        <v>0</v>
      </c>
      <c r="D261" s="4">
        <v>0</v>
      </c>
    </row>
    <row r="262" spans="1:4" x14ac:dyDescent="0.25">
      <c r="A262" s="4" t="s">
        <v>86</v>
      </c>
      <c r="B262" s="4">
        <v>9</v>
      </c>
      <c r="C262" s="4">
        <v>0</v>
      </c>
      <c r="D262" s="4">
        <v>0</v>
      </c>
    </row>
    <row r="263" spans="1:4" x14ac:dyDescent="0.25">
      <c r="A263" s="4" t="s">
        <v>86</v>
      </c>
      <c r="B263" s="4">
        <v>10</v>
      </c>
      <c r="C263" s="4">
        <v>0</v>
      </c>
      <c r="D263" s="4">
        <v>0</v>
      </c>
    </row>
    <row r="264" spans="1:4" x14ac:dyDescent="0.25">
      <c r="A264" s="4" t="s">
        <v>86</v>
      </c>
      <c r="B264" s="4">
        <v>11</v>
      </c>
      <c r="C264" s="4">
        <v>0</v>
      </c>
      <c r="D264" s="4">
        <v>0</v>
      </c>
    </row>
    <row r="265" spans="1:4" x14ac:dyDescent="0.25">
      <c r="A265" s="4" t="s">
        <v>86</v>
      </c>
      <c r="B265" s="4">
        <v>12</v>
      </c>
      <c r="C265" s="4">
        <v>1</v>
      </c>
      <c r="D265" s="4">
        <v>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3"/>
  <sheetViews>
    <sheetView zoomScaleNormal="100" workbookViewId="0">
      <pane ySplit="1" topLeftCell="A2" activePane="bottomLeft" state="frozen"/>
      <selection pane="bottomLeft" activeCell="D20" sqref="D20"/>
    </sheetView>
  </sheetViews>
  <sheetFormatPr defaultColWidth="8.7109375" defaultRowHeight="15" x14ac:dyDescent="0.25"/>
  <cols>
    <col min="1" max="1" width="10" customWidth="1"/>
    <col min="2" max="2" width="8" customWidth="1"/>
    <col min="3" max="3" width="14" customWidth="1"/>
    <col min="4" max="4" width="20" customWidth="1"/>
  </cols>
  <sheetData>
    <row r="1" spans="1:4" x14ac:dyDescent="0.25">
      <c r="A1" s="3" t="s">
        <v>20</v>
      </c>
      <c r="B1" s="3" t="s">
        <v>93</v>
      </c>
      <c r="C1" s="3" t="s">
        <v>99</v>
      </c>
      <c r="D1" s="3" t="s">
        <v>100</v>
      </c>
    </row>
    <row r="2" spans="1:4" x14ac:dyDescent="0.25">
      <c r="A2" s="4" t="s">
        <v>26</v>
      </c>
      <c r="B2" s="4">
        <v>1</v>
      </c>
      <c r="C2" s="4">
        <v>9</v>
      </c>
      <c r="D2" s="4">
        <v>9</v>
      </c>
    </row>
    <row r="3" spans="1:4" x14ac:dyDescent="0.25">
      <c r="A3" s="4" t="s">
        <v>26</v>
      </c>
      <c r="B3" s="4">
        <v>2</v>
      </c>
      <c r="C3" s="4">
        <v>13</v>
      </c>
      <c r="D3" s="4">
        <v>11</v>
      </c>
    </row>
    <row r="4" spans="1:4" x14ac:dyDescent="0.25">
      <c r="A4" s="4" t="s">
        <v>26</v>
      </c>
      <c r="B4" s="4">
        <v>3</v>
      </c>
      <c r="C4" s="4">
        <v>10</v>
      </c>
      <c r="D4" s="4">
        <v>10</v>
      </c>
    </row>
    <row r="5" spans="1:4" x14ac:dyDescent="0.25">
      <c r="A5" s="4" t="s">
        <v>26</v>
      </c>
      <c r="B5" s="4">
        <v>4</v>
      </c>
      <c r="C5" s="4">
        <v>10</v>
      </c>
      <c r="D5" s="4">
        <v>10</v>
      </c>
    </row>
    <row r="6" spans="1:4" x14ac:dyDescent="0.25">
      <c r="A6" s="4" t="s">
        <v>26</v>
      </c>
      <c r="B6" s="4">
        <v>5</v>
      </c>
      <c r="C6" s="4">
        <v>15</v>
      </c>
      <c r="D6" s="4">
        <v>15</v>
      </c>
    </row>
    <row r="7" spans="1:4" x14ac:dyDescent="0.25">
      <c r="A7" s="4" t="s">
        <v>26</v>
      </c>
      <c r="B7" s="4">
        <v>6</v>
      </c>
      <c r="C7" s="4">
        <v>10</v>
      </c>
      <c r="D7" s="4">
        <v>9</v>
      </c>
    </row>
    <row r="8" spans="1:4" x14ac:dyDescent="0.25">
      <c r="A8" s="4" t="s">
        <v>26</v>
      </c>
      <c r="B8" s="4">
        <v>7</v>
      </c>
      <c r="C8" s="4">
        <v>10</v>
      </c>
      <c r="D8" s="4">
        <v>10</v>
      </c>
    </row>
    <row r="9" spans="1:4" x14ac:dyDescent="0.25">
      <c r="A9" s="4" t="s">
        <v>26</v>
      </c>
      <c r="B9" s="4">
        <v>8</v>
      </c>
      <c r="C9" s="4">
        <v>15</v>
      </c>
      <c r="D9" s="4">
        <v>15</v>
      </c>
    </row>
    <row r="10" spans="1:4" x14ac:dyDescent="0.25">
      <c r="A10" s="4" t="s">
        <v>26</v>
      </c>
      <c r="B10" s="4">
        <v>9</v>
      </c>
      <c r="C10" s="4">
        <v>8</v>
      </c>
      <c r="D10" s="4">
        <v>7</v>
      </c>
    </row>
    <row r="11" spans="1:4" x14ac:dyDescent="0.25">
      <c r="A11" s="4" t="s">
        <v>26</v>
      </c>
      <c r="B11" s="4">
        <v>10</v>
      </c>
      <c r="C11" s="4">
        <v>11</v>
      </c>
      <c r="D11" s="4">
        <v>10</v>
      </c>
    </row>
    <row r="12" spans="1:4" x14ac:dyDescent="0.25">
      <c r="A12" s="4" t="s">
        <v>26</v>
      </c>
      <c r="B12" s="4">
        <v>11</v>
      </c>
      <c r="C12" s="4">
        <v>8</v>
      </c>
      <c r="D12" s="4">
        <v>7</v>
      </c>
    </row>
    <row r="13" spans="1:4" x14ac:dyDescent="0.25">
      <c r="A13" s="4" t="s">
        <v>26</v>
      </c>
      <c r="B13" s="4">
        <v>12</v>
      </c>
      <c r="C13" s="4">
        <v>14</v>
      </c>
      <c r="D13" s="4">
        <v>14</v>
      </c>
    </row>
    <row r="14" spans="1:4" x14ac:dyDescent="0.25">
      <c r="A14" s="4" t="s">
        <v>31</v>
      </c>
      <c r="B14" s="4">
        <v>1</v>
      </c>
      <c r="C14" s="4">
        <v>15</v>
      </c>
      <c r="D14" s="4">
        <v>12</v>
      </c>
    </row>
    <row r="15" spans="1:4" x14ac:dyDescent="0.25">
      <c r="A15" s="4" t="s">
        <v>31</v>
      </c>
      <c r="B15" s="4">
        <v>2</v>
      </c>
      <c r="C15" s="4">
        <v>11</v>
      </c>
      <c r="D15" s="4">
        <v>10</v>
      </c>
    </row>
    <row r="16" spans="1:4" x14ac:dyDescent="0.25">
      <c r="A16" s="4" t="s">
        <v>31</v>
      </c>
      <c r="B16" s="4">
        <v>3</v>
      </c>
      <c r="C16" s="4">
        <v>12</v>
      </c>
      <c r="D16" s="4">
        <v>9</v>
      </c>
    </row>
    <row r="17" spans="1:4" x14ac:dyDescent="0.25">
      <c r="A17" s="4" t="s">
        <v>31</v>
      </c>
      <c r="B17" s="4">
        <v>4</v>
      </c>
      <c r="C17" s="4">
        <v>13</v>
      </c>
      <c r="D17" s="4">
        <v>11</v>
      </c>
    </row>
    <row r="18" spans="1:4" x14ac:dyDescent="0.25">
      <c r="A18" s="4" t="s">
        <v>31</v>
      </c>
      <c r="B18" s="4">
        <v>5</v>
      </c>
      <c r="C18" s="4">
        <v>12</v>
      </c>
      <c r="D18" s="4">
        <v>10</v>
      </c>
    </row>
    <row r="19" spans="1:4" x14ac:dyDescent="0.25">
      <c r="A19" s="4" t="s">
        <v>31</v>
      </c>
      <c r="B19" s="4">
        <v>6</v>
      </c>
      <c r="C19" s="4">
        <v>14</v>
      </c>
      <c r="D19" s="4">
        <v>12</v>
      </c>
    </row>
    <row r="20" spans="1:4" x14ac:dyDescent="0.25">
      <c r="A20" s="4" t="s">
        <v>31</v>
      </c>
      <c r="B20" s="4">
        <v>7</v>
      </c>
      <c r="C20" s="4">
        <v>15</v>
      </c>
      <c r="D20" s="4">
        <v>13</v>
      </c>
    </row>
    <row r="21" spans="1:4" x14ac:dyDescent="0.25">
      <c r="A21" s="4" t="s">
        <v>31</v>
      </c>
      <c r="B21" s="4">
        <v>8</v>
      </c>
      <c r="C21" s="4">
        <v>10</v>
      </c>
      <c r="D21" s="4">
        <v>8</v>
      </c>
    </row>
    <row r="22" spans="1:4" x14ac:dyDescent="0.25">
      <c r="A22" s="4" t="s">
        <v>31</v>
      </c>
      <c r="B22" s="4">
        <v>9</v>
      </c>
      <c r="C22" s="4">
        <v>15</v>
      </c>
      <c r="D22" s="4">
        <v>12</v>
      </c>
    </row>
    <row r="23" spans="1:4" x14ac:dyDescent="0.25">
      <c r="A23" s="4" t="s">
        <v>31</v>
      </c>
      <c r="B23" s="4">
        <v>10</v>
      </c>
      <c r="C23" s="4">
        <v>12</v>
      </c>
      <c r="D23" s="4">
        <v>9</v>
      </c>
    </row>
    <row r="24" spans="1:4" x14ac:dyDescent="0.25">
      <c r="A24" s="4" t="s">
        <v>31</v>
      </c>
      <c r="B24" s="4">
        <v>11</v>
      </c>
      <c r="C24" s="4">
        <v>9</v>
      </c>
      <c r="D24" s="4">
        <v>7</v>
      </c>
    </row>
    <row r="25" spans="1:4" x14ac:dyDescent="0.25">
      <c r="A25" s="4" t="s">
        <v>31</v>
      </c>
      <c r="B25" s="4">
        <v>12</v>
      </c>
      <c r="C25" s="4">
        <v>10</v>
      </c>
      <c r="D25" s="4">
        <v>8</v>
      </c>
    </row>
    <row r="26" spans="1:4" x14ac:dyDescent="0.25">
      <c r="A26" s="4" t="s">
        <v>35</v>
      </c>
      <c r="B26" s="4">
        <v>1</v>
      </c>
      <c r="C26" s="4">
        <v>12</v>
      </c>
      <c r="D26" s="4">
        <v>7</v>
      </c>
    </row>
    <row r="27" spans="1:4" x14ac:dyDescent="0.25">
      <c r="A27" s="4" t="s">
        <v>35</v>
      </c>
      <c r="B27" s="4">
        <v>2</v>
      </c>
      <c r="C27" s="4">
        <v>12</v>
      </c>
      <c r="D27" s="4">
        <v>7</v>
      </c>
    </row>
    <row r="28" spans="1:4" x14ac:dyDescent="0.25">
      <c r="A28" s="4" t="s">
        <v>35</v>
      </c>
      <c r="B28" s="4">
        <v>3</v>
      </c>
      <c r="C28" s="4">
        <v>12</v>
      </c>
      <c r="D28" s="4">
        <v>6</v>
      </c>
    </row>
    <row r="29" spans="1:4" x14ac:dyDescent="0.25">
      <c r="A29" s="4" t="s">
        <v>35</v>
      </c>
      <c r="B29" s="4">
        <v>4</v>
      </c>
      <c r="C29" s="4">
        <v>10</v>
      </c>
      <c r="D29" s="4">
        <v>6</v>
      </c>
    </row>
    <row r="30" spans="1:4" x14ac:dyDescent="0.25">
      <c r="A30" s="4" t="s">
        <v>35</v>
      </c>
      <c r="B30" s="4">
        <v>5</v>
      </c>
      <c r="C30" s="4">
        <v>15</v>
      </c>
      <c r="D30" s="4">
        <v>8</v>
      </c>
    </row>
    <row r="31" spans="1:4" x14ac:dyDescent="0.25">
      <c r="A31" s="4" t="s">
        <v>35</v>
      </c>
      <c r="B31" s="4">
        <v>6</v>
      </c>
      <c r="C31" s="4">
        <v>13</v>
      </c>
      <c r="D31" s="4">
        <v>8</v>
      </c>
    </row>
    <row r="32" spans="1:4" x14ac:dyDescent="0.25">
      <c r="A32" s="4" t="s">
        <v>35</v>
      </c>
      <c r="B32" s="4">
        <v>7</v>
      </c>
      <c r="C32" s="4">
        <v>14</v>
      </c>
      <c r="D32" s="4">
        <v>8</v>
      </c>
    </row>
    <row r="33" spans="1:4" x14ac:dyDescent="0.25">
      <c r="A33" s="4" t="s">
        <v>35</v>
      </c>
      <c r="B33" s="4">
        <v>8</v>
      </c>
      <c r="C33" s="4">
        <v>8</v>
      </c>
      <c r="D33" s="4">
        <v>6</v>
      </c>
    </row>
    <row r="34" spans="1:4" x14ac:dyDescent="0.25">
      <c r="A34" s="4" t="s">
        <v>35</v>
      </c>
      <c r="B34" s="4">
        <v>9</v>
      </c>
      <c r="C34" s="4">
        <v>9</v>
      </c>
      <c r="D34" s="4">
        <v>5</v>
      </c>
    </row>
    <row r="35" spans="1:4" x14ac:dyDescent="0.25">
      <c r="A35" s="4" t="s">
        <v>35</v>
      </c>
      <c r="B35" s="4">
        <v>10</v>
      </c>
      <c r="C35" s="4">
        <v>10</v>
      </c>
      <c r="D35" s="4">
        <v>5</v>
      </c>
    </row>
    <row r="36" spans="1:4" x14ac:dyDescent="0.25">
      <c r="A36" s="4" t="s">
        <v>35</v>
      </c>
      <c r="B36" s="4">
        <v>11</v>
      </c>
      <c r="C36" s="4">
        <v>8</v>
      </c>
      <c r="D36" s="4">
        <v>5</v>
      </c>
    </row>
    <row r="37" spans="1:4" x14ac:dyDescent="0.25">
      <c r="A37" s="4" t="s">
        <v>35</v>
      </c>
      <c r="B37" s="4">
        <v>12</v>
      </c>
      <c r="C37" s="4">
        <v>15</v>
      </c>
      <c r="D37" s="4">
        <v>10</v>
      </c>
    </row>
    <row r="38" spans="1:4" x14ac:dyDescent="0.25">
      <c r="A38" s="4" t="s">
        <v>38</v>
      </c>
      <c r="B38" s="4">
        <v>1</v>
      </c>
      <c r="C38" s="4">
        <v>8</v>
      </c>
      <c r="D38" s="4">
        <v>7</v>
      </c>
    </row>
    <row r="39" spans="1:4" x14ac:dyDescent="0.25">
      <c r="A39" s="4" t="s">
        <v>38</v>
      </c>
      <c r="B39" s="4">
        <v>2</v>
      </c>
      <c r="C39" s="4">
        <v>13</v>
      </c>
      <c r="D39" s="4">
        <v>11</v>
      </c>
    </row>
    <row r="40" spans="1:4" x14ac:dyDescent="0.25">
      <c r="A40" s="4" t="s">
        <v>38</v>
      </c>
      <c r="B40" s="4">
        <v>3</v>
      </c>
      <c r="C40" s="4">
        <v>13</v>
      </c>
      <c r="D40" s="4">
        <v>10</v>
      </c>
    </row>
    <row r="41" spans="1:4" x14ac:dyDescent="0.25">
      <c r="A41" s="4" t="s">
        <v>38</v>
      </c>
      <c r="B41" s="4">
        <v>4</v>
      </c>
      <c r="C41" s="4">
        <v>10</v>
      </c>
      <c r="D41" s="4">
        <v>9</v>
      </c>
    </row>
    <row r="42" spans="1:4" x14ac:dyDescent="0.25">
      <c r="A42" s="4" t="s">
        <v>38</v>
      </c>
      <c r="B42" s="4">
        <v>5</v>
      </c>
      <c r="C42" s="4">
        <v>15</v>
      </c>
      <c r="D42" s="4">
        <v>13</v>
      </c>
    </row>
    <row r="43" spans="1:4" x14ac:dyDescent="0.25">
      <c r="A43" s="4" t="s">
        <v>38</v>
      </c>
      <c r="B43" s="4">
        <v>6</v>
      </c>
      <c r="C43" s="4">
        <v>9</v>
      </c>
      <c r="D43" s="4">
        <v>7</v>
      </c>
    </row>
    <row r="44" spans="1:4" x14ac:dyDescent="0.25">
      <c r="A44" s="4" t="s">
        <v>38</v>
      </c>
      <c r="B44" s="4">
        <v>7</v>
      </c>
      <c r="C44" s="4">
        <v>10</v>
      </c>
      <c r="D44" s="4">
        <v>7</v>
      </c>
    </row>
    <row r="45" spans="1:4" x14ac:dyDescent="0.25">
      <c r="A45" s="4" t="s">
        <v>38</v>
      </c>
      <c r="B45" s="4">
        <v>8</v>
      </c>
      <c r="C45" s="4">
        <v>12</v>
      </c>
      <c r="D45" s="4">
        <v>9</v>
      </c>
    </row>
    <row r="46" spans="1:4" x14ac:dyDescent="0.25">
      <c r="A46" s="4" t="s">
        <v>38</v>
      </c>
      <c r="B46" s="4">
        <v>9</v>
      </c>
      <c r="C46" s="4">
        <v>11</v>
      </c>
      <c r="D46" s="4">
        <v>9</v>
      </c>
    </row>
    <row r="47" spans="1:4" x14ac:dyDescent="0.25">
      <c r="A47" s="4" t="s">
        <v>38</v>
      </c>
      <c r="B47" s="4">
        <v>10</v>
      </c>
      <c r="C47" s="4">
        <v>10</v>
      </c>
      <c r="D47" s="4">
        <v>8</v>
      </c>
    </row>
    <row r="48" spans="1:4" x14ac:dyDescent="0.25">
      <c r="A48" s="4" t="s">
        <v>38</v>
      </c>
      <c r="B48" s="4">
        <v>11</v>
      </c>
      <c r="C48" s="4">
        <v>15</v>
      </c>
      <c r="D48" s="4">
        <v>10</v>
      </c>
    </row>
    <row r="49" spans="1:4" x14ac:dyDescent="0.25">
      <c r="A49" s="4" t="s">
        <v>38</v>
      </c>
      <c r="B49" s="4">
        <v>12</v>
      </c>
      <c r="C49" s="4">
        <v>9</v>
      </c>
      <c r="D49" s="4">
        <v>7</v>
      </c>
    </row>
    <row r="50" spans="1:4" x14ac:dyDescent="0.25">
      <c r="A50" s="4" t="s">
        <v>41</v>
      </c>
      <c r="B50" s="4">
        <v>1</v>
      </c>
      <c r="C50" s="4">
        <v>12</v>
      </c>
      <c r="D50" s="4">
        <v>7</v>
      </c>
    </row>
    <row r="51" spans="1:4" x14ac:dyDescent="0.25">
      <c r="A51" s="4" t="s">
        <v>41</v>
      </c>
      <c r="B51" s="4">
        <v>2</v>
      </c>
      <c r="C51" s="4">
        <v>11</v>
      </c>
      <c r="D51" s="4">
        <v>6</v>
      </c>
    </row>
    <row r="52" spans="1:4" x14ac:dyDescent="0.25">
      <c r="A52" s="4" t="s">
        <v>41</v>
      </c>
      <c r="B52" s="4">
        <v>3</v>
      </c>
      <c r="C52" s="4">
        <v>12</v>
      </c>
      <c r="D52" s="4">
        <v>7</v>
      </c>
    </row>
    <row r="53" spans="1:4" x14ac:dyDescent="0.25">
      <c r="A53" s="4" t="s">
        <v>41</v>
      </c>
      <c r="B53" s="4">
        <v>4</v>
      </c>
      <c r="C53" s="4">
        <v>11</v>
      </c>
      <c r="D53" s="4">
        <v>5</v>
      </c>
    </row>
    <row r="54" spans="1:4" x14ac:dyDescent="0.25">
      <c r="A54" s="4" t="s">
        <v>41</v>
      </c>
      <c r="B54" s="4">
        <v>5</v>
      </c>
      <c r="C54" s="4">
        <v>9</v>
      </c>
      <c r="D54" s="4">
        <v>7</v>
      </c>
    </row>
    <row r="55" spans="1:4" x14ac:dyDescent="0.25">
      <c r="A55" s="4" t="s">
        <v>41</v>
      </c>
      <c r="B55" s="4">
        <v>6</v>
      </c>
      <c r="C55" s="4">
        <v>10</v>
      </c>
      <c r="D55" s="4">
        <v>9</v>
      </c>
    </row>
    <row r="56" spans="1:4" x14ac:dyDescent="0.25">
      <c r="A56" s="4" t="s">
        <v>41</v>
      </c>
      <c r="B56" s="4">
        <v>7</v>
      </c>
      <c r="C56" s="4">
        <v>15</v>
      </c>
      <c r="D56" s="4">
        <v>15</v>
      </c>
    </row>
    <row r="57" spans="1:4" x14ac:dyDescent="0.25">
      <c r="A57" s="4" t="s">
        <v>41</v>
      </c>
      <c r="B57" s="4">
        <v>8</v>
      </c>
      <c r="C57" s="4">
        <v>13</v>
      </c>
      <c r="D57" s="4">
        <v>13</v>
      </c>
    </row>
    <row r="58" spans="1:4" x14ac:dyDescent="0.25">
      <c r="A58" s="4" t="s">
        <v>41</v>
      </c>
      <c r="B58" s="4">
        <v>9</v>
      </c>
      <c r="C58" s="4">
        <v>13</v>
      </c>
      <c r="D58" s="4">
        <v>13</v>
      </c>
    </row>
    <row r="59" spans="1:4" x14ac:dyDescent="0.25">
      <c r="A59" s="4" t="s">
        <v>41</v>
      </c>
      <c r="B59" s="4">
        <v>10</v>
      </c>
      <c r="C59" s="4">
        <v>12</v>
      </c>
      <c r="D59" s="4">
        <v>12</v>
      </c>
    </row>
    <row r="60" spans="1:4" x14ac:dyDescent="0.25">
      <c r="A60" s="4" t="s">
        <v>41</v>
      </c>
      <c r="B60" s="4">
        <v>11</v>
      </c>
      <c r="C60" s="4">
        <v>12</v>
      </c>
      <c r="D60" s="4">
        <v>12</v>
      </c>
    </row>
    <row r="61" spans="1:4" x14ac:dyDescent="0.25">
      <c r="A61" s="4" t="s">
        <v>41</v>
      </c>
      <c r="B61" s="4">
        <v>12</v>
      </c>
      <c r="C61" s="4">
        <v>10</v>
      </c>
      <c r="D61" s="4">
        <v>10</v>
      </c>
    </row>
    <row r="62" spans="1:4" x14ac:dyDescent="0.25">
      <c r="A62" s="4" t="s">
        <v>44</v>
      </c>
      <c r="B62" s="4">
        <v>1</v>
      </c>
      <c r="C62" s="4">
        <v>13</v>
      </c>
      <c r="D62" s="4">
        <v>12</v>
      </c>
    </row>
    <row r="63" spans="1:4" x14ac:dyDescent="0.25">
      <c r="A63" s="4" t="s">
        <v>44</v>
      </c>
      <c r="B63" s="4">
        <v>2</v>
      </c>
      <c r="C63" s="4">
        <v>11</v>
      </c>
      <c r="D63" s="4">
        <v>10</v>
      </c>
    </row>
    <row r="64" spans="1:4" x14ac:dyDescent="0.25">
      <c r="A64" s="4" t="s">
        <v>44</v>
      </c>
      <c r="B64" s="4">
        <v>3</v>
      </c>
      <c r="C64" s="4">
        <v>10</v>
      </c>
      <c r="D64" s="4">
        <v>9</v>
      </c>
    </row>
    <row r="65" spans="1:4" x14ac:dyDescent="0.25">
      <c r="A65" s="4" t="s">
        <v>44</v>
      </c>
      <c r="B65" s="4">
        <v>4</v>
      </c>
      <c r="C65" s="4">
        <v>13</v>
      </c>
      <c r="D65" s="4">
        <v>13</v>
      </c>
    </row>
    <row r="66" spans="1:4" x14ac:dyDescent="0.25">
      <c r="A66" s="4" t="s">
        <v>44</v>
      </c>
      <c r="B66" s="4">
        <v>5</v>
      </c>
      <c r="C66" s="4">
        <v>13</v>
      </c>
      <c r="D66" s="4">
        <v>11</v>
      </c>
    </row>
    <row r="67" spans="1:4" x14ac:dyDescent="0.25">
      <c r="A67" s="4" t="s">
        <v>44</v>
      </c>
      <c r="B67" s="4">
        <v>6</v>
      </c>
      <c r="C67" s="4">
        <v>10</v>
      </c>
      <c r="D67" s="4">
        <v>10</v>
      </c>
    </row>
    <row r="68" spans="1:4" x14ac:dyDescent="0.25">
      <c r="A68" s="4" t="s">
        <v>44</v>
      </c>
      <c r="B68" s="4">
        <v>7</v>
      </c>
      <c r="C68" s="4">
        <v>9</v>
      </c>
      <c r="D68" s="4">
        <v>9</v>
      </c>
    </row>
    <row r="69" spans="1:4" x14ac:dyDescent="0.25">
      <c r="A69" s="4" t="s">
        <v>44</v>
      </c>
      <c r="B69" s="4">
        <v>8</v>
      </c>
      <c r="C69" s="4">
        <v>15</v>
      </c>
      <c r="D69" s="4">
        <v>14</v>
      </c>
    </row>
    <row r="70" spans="1:4" x14ac:dyDescent="0.25">
      <c r="A70" s="4" t="s">
        <v>44</v>
      </c>
      <c r="B70" s="4">
        <v>9</v>
      </c>
      <c r="C70" s="4">
        <v>14</v>
      </c>
      <c r="D70" s="4">
        <v>13</v>
      </c>
    </row>
    <row r="71" spans="1:4" x14ac:dyDescent="0.25">
      <c r="A71" s="4" t="s">
        <v>44</v>
      </c>
      <c r="B71" s="4">
        <v>10</v>
      </c>
      <c r="C71" s="4">
        <v>9</v>
      </c>
      <c r="D71" s="4">
        <v>8</v>
      </c>
    </row>
    <row r="72" spans="1:4" x14ac:dyDescent="0.25">
      <c r="A72" s="4" t="s">
        <v>44</v>
      </c>
      <c r="B72" s="4">
        <v>11</v>
      </c>
      <c r="C72" s="4">
        <v>10</v>
      </c>
      <c r="D72" s="4">
        <v>10</v>
      </c>
    </row>
    <row r="73" spans="1:4" x14ac:dyDescent="0.25">
      <c r="A73" s="4" t="s">
        <v>44</v>
      </c>
      <c r="B73" s="4">
        <v>12</v>
      </c>
      <c r="C73" s="4">
        <v>15</v>
      </c>
      <c r="D73" s="4">
        <v>14</v>
      </c>
    </row>
    <row r="74" spans="1:4" x14ac:dyDescent="0.25">
      <c r="A74" s="4" t="s">
        <v>47</v>
      </c>
      <c r="B74" s="4">
        <v>1</v>
      </c>
      <c r="C74" s="4">
        <v>15</v>
      </c>
      <c r="D74" s="4">
        <v>12</v>
      </c>
    </row>
    <row r="75" spans="1:4" x14ac:dyDescent="0.25">
      <c r="A75" s="4" t="s">
        <v>47</v>
      </c>
      <c r="B75" s="4">
        <v>2</v>
      </c>
      <c r="C75" s="4">
        <v>10</v>
      </c>
      <c r="D75" s="4">
        <v>8</v>
      </c>
    </row>
    <row r="76" spans="1:4" x14ac:dyDescent="0.25">
      <c r="A76" s="4" t="s">
        <v>47</v>
      </c>
      <c r="B76" s="4">
        <v>3</v>
      </c>
      <c r="C76" s="4">
        <v>10</v>
      </c>
      <c r="D76" s="4">
        <v>7</v>
      </c>
    </row>
    <row r="77" spans="1:4" x14ac:dyDescent="0.25">
      <c r="A77" s="4" t="s">
        <v>47</v>
      </c>
      <c r="B77" s="4">
        <v>4</v>
      </c>
      <c r="C77" s="4">
        <v>8</v>
      </c>
      <c r="D77" s="4">
        <v>7</v>
      </c>
    </row>
    <row r="78" spans="1:4" x14ac:dyDescent="0.25">
      <c r="A78" s="4" t="s">
        <v>47</v>
      </c>
      <c r="B78" s="4">
        <v>5</v>
      </c>
      <c r="C78" s="4">
        <v>9</v>
      </c>
      <c r="D78" s="4">
        <v>7</v>
      </c>
    </row>
    <row r="79" spans="1:4" x14ac:dyDescent="0.25">
      <c r="A79" s="4" t="s">
        <v>47</v>
      </c>
      <c r="B79" s="4">
        <v>6</v>
      </c>
      <c r="C79" s="4">
        <v>10</v>
      </c>
      <c r="D79" s="4">
        <v>8</v>
      </c>
    </row>
    <row r="80" spans="1:4" x14ac:dyDescent="0.25">
      <c r="A80" s="4" t="s">
        <v>47</v>
      </c>
      <c r="B80" s="4">
        <v>7</v>
      </c>
      <c r="C80" s="4">
        <v>13</v>
      </c>
      <c r="D80" s="4">
        <v>11</v>
      </c>
    </row>
    <row r="81" spans="1:4" x14ac:dyDescent="0.25">
      <c r="A81" s="4" t="s">
        <v>47</v>
      </c>
      <c r="B81" s="4">
        <v>8</v>
      </c>
      <c r="C81" s="4">
        <v>12</v>
      </c>
      <c r="D81" s="4">
        <v>9</v>
      </c>
    </row>
    <row r="82" spans="1:4" x14ac:dyDescent="0.25">
      <c r="A82" s="4" t="s">
        <v>47</v>
      </c>
      <c r="B82" s="4">
        <v>9</v>
      </c>
      <c r="C82" s="4">
        <v>9</v>
      </c>
      <c r="D82" s="4">
        <v>7</v>
      </c>
    </row>
    <row r="83" spans="1:4" x14ac:dyDescent="0.25">
      <c r="A83" s="4" t="s">
        <v>47</v>
      </c>
      <c r="B83" s="4">
        <v>10</v>
      </c>
      <c r="C83" s="4">
        <v>12</v>
      </c>
      <c r="D83" s="4">
        <v>11</v>
      </c>
    </row>
    <row r="84" spans="1:4" x14ac:dyDescent="0.25">
      <c r="A84" s="4" t="s">
        <v>47</v>
      </c>
      <c r="B84" s="4">
        <v>11</v>
      </c>
      <c r="C84" s="4">
        <v>10</v>
      </c>
      <c r="D84" s="4">
        <v>7</v>
      </c>
    </row>
    <row r="85" spans="1:4" x14ac:dyDescent="0.25">
      <c r="A85" s="4" t="s">
        <v>47</v>
      </c>
      <c r="B85" s="4">
        <v>12</v>
      </c>
      <c r="C85" s="4">
        <v>9</v>
      </c>
      <c r="D85" s="4">
        <v>7</v>
      </c>
    </row>
    <row r="86" spans="1:4" x14ac:dyDescent="0.25">
      <c r="A86" s="4" t="s">
        <v>49</v>
      </c>
      <c r="B86" s="4">
        <v>1</v>
      </c>
      <c r="C86" s="4">
        <v>10</v>
      </c>
      <c r="D86" s="4">
        <v>7</v>
      </c>
    </row>
    <row r="87" spans="1:4" x14ac:dyDescent="0.25">
      <c r="A87" s="4" t="s">
        <v>49</v>
      </c>
      <c r="B87" s="4">
        <v>2</v>
      </c>
      <c r="C87" s="4">
        <v>10</v>
      </c>
      <c r="D87" s="4">
        <v>8</v>
      </c>
    </row>
    <row r="88" spans="1:4" x14ac:dyDescent="0.25">
      <c r="A88" s="4" t="s">
        <v>49</v>
      </c>
      <c r="B88" s="4">
        <v>3</v>
      </c>
      <c r="C88" s="4">
        <v>13</v>
      </c>
      <c r="D88" s="4">
        <v>11</v>
      </c>
    </row>
    <row r="89" spans="1:4" x14ac:dyDescent="0.25">
      <c r="A89" s="4" t="s">
        <v>49</v>
      </c>
      <c r="B89" s="4">
        <v>4</v>
      </c>
      <c r="C89" s="4">
        <v>8</v>
      </c>
      <c r="D89" s="4">
        <v>6</v>
      </c>
    </row>
    <row r="90" spans="1:4" x14ac:dyDescent="0.25">
      <c r="A90" s="4" t="s">
        <v>49</v>
      </c>
      <c r="B90" s="4">
        <v>5</v>
      </c>
      <c r="C90" s="4">
        <v>9</v>
      </c>
      <c r="D90" s="4">
        <v>8</v>
      </c>
    </row>
    <row r="91" spans="1:4" x14ac:dyDescent="0.25">
      <c r="A91" s="4" t="s">
        <v>49</v>
      </c>
      <c r="B91" s="4">
        <v>6</v>
      </c>
      <c r="C91" s="4">
        <v>12</v>
      </c>
      <c r="D91" s="4">
        <v>10</v>
      </c>
    </row>
    <row r="92" spans="1:4" x14ac:dyDescent="0.25">
      <c r="A92" s="4" t="s">
        <v>49</v>
      </c>
      <c r="B92" s="4">
        <v>7</v>
      </c>
      <c r="C92" s="4">
        <v>11</v>
      </c>
      <c r="D92" s="4">
        <v>9</v>
      </c>
    </row>
    <row r="93" spans="1:4" x14ac:dyDescent="0.25">
      <c r="A93" s="4" t="s">
        <v>49</v>
      </c>
      <c r="B93" s="4">
        <v>8</v>
      </c>
      <c r="C93" s="4">
        <v>8</v>
      </c>
      <c r="D93" s="4">
        <v>6</v>
      </c>
    </row>
    <row r="94" spans="1:4" x14ac:dyDescent="0.25">
      <c r="A94" s="4" t="s">
        <v>49</v>
      </c>
      <c r="B94" s="4">
        <v>9</v>
      </c>
      <c r="C94" s="4">
        <v>15</v>
      </c>
      <c r="D94" s="4">
        <v>13</v>
      </c>
    </row>
    <row r="95" spans="1:4" x14ac:dyDescent="0.25">
      <c r="A95" s="4" t="s">
        <v>49</v>
      </c>
      <c r="B95" s="4">
        <v>10</v>
      </c>
      <c r="C95" s="4">
        <v>12</v>
      </c>
      <c r="D95" s="4">
        <v>9</v>
      </c>
    </row>
    <row r="96" spans="1:4" x14ac:dyDescent="0.25">
      <c r="A96" s="4" t="s">
        <v>49</v>
      </c>
      <c r="B96" s="4">
        <v>11</v>
      </c>
      <c r="C96" s="4">
        <v>15</v>
      </c>
      <c r="D96" s="4">
        <v>12</v>
      </c>
    </row>
    <row r="97" spans="1:4" x14ac:dyDescent="0.25">
      <c r="A97" s="4" t="s">
        <v>49</v>
      </c>
      <c r="B97" s="4">
        <v>12</v>
      </c>
      <c r="C97" s="4">
        <v>14</v>
      </c>
      <c r="D97" s="4">
        <v>13</v>
      </c>
    </row>
    <row r="98" spans="1:4" x14ac:dyDescent="0.25">
      <c r="A98" s="4" t="s">
        <v>68</v>
      </c>
      <c r="B98" s="4">
        <v>1</v>
      </c>
      <c r="C98" s="4">
        <v>12</v>
      </c>
      <c r="D98" s="4">
        <v>9</v>
      </c>
    </row>
    <row r="99" spans="1:4" x14ac:dyDescent="0.25">
      <c r="A99" s="4" t="s">
        <v>68</v>
      </c>
      <c r="B99" s="4">
        <v>2</v>
      </c>
      <c r="C99" s="4">
        <v>10</v>
      </c>
      <c r="D99" s="4">
        <v>8</v>
      </c>
    </row>
    <row r="100" spans="1:4" x14ac:dyDescent="0.25">
      <c r="A100" s="4" t="s">
        <v>68</v>
      </c>
      <c r="B100" s="4">
        <v>3</v>
      </c>
      <c r="C100" s="4">
        <v>15</v>
      </c>
      <c r="D100" s="4">
        <v>11</v>
      </c>
    </row>
    <row r="101" spans="1:4" x14ac:dyDescent="0.25">
      <c r="A101" s="4" t="s">
        <v>68</v>
      </c>
      <c r="B101" s="4">
        <v>4</v>
      </c>
      <c r="C101" s="4">
        <v>13</v>
      </c>
      <c r="D101" s="4">
        <v>11</v>
      </c>
    </row>
    <row r="102" spans="1:4" x14ac:dyDescent="0.25">
      <c r="A102" s="4" t="s">
        <v>68</v>
      </c>
      <c r="B102" s="4">
        <v>5</v>
      </c>
      <c r="C102" s="4">
        <v>10</v>
      </c>
      <c r="D102" s="4">
        <v>8</v>
      </c>
    </row>
    <row r="103" spans="1:4" x14ac:dyDescent="0.25">
      <c r="A103" s="4" t="s">
        <v>68</v>
      </c>
      <c r="B103" s="4">
        <v>6</v>
      </c>
      <c r="C103" s="4">
        <v>13</v>
      </c>
      <c r="D103" s="4">
        <v>12</v>
      </c>
    </row>
    <row r="104" spans="1:4" x14ac:dyDescent="0.25">
      <c r="A104" s="4" t="s">
        <v>68</v>
      </c>
      <c r="B104" s="4">
        <v>7</v>
      </c>
      <c r="C104" s="4">
        <v>14</v>
      </c>
      <c r="D104" s="4">
        <v>12</v>
      </c>
    </row>
    <row r="105" spans="1:4" x14ac:dyDescent="0.25">
      <c r="A105" s="4" t="s">
        <v>68</v>
      </c>
      <c r="B105" s="4">
        <v>8</v>
      </c>
      <c r="C105" s="4">
        <v>9</v>
      </c>
      <c r="D105" s="4">
        <v>8</v>
      </c>
    </row>
    <row r="106" spans="1:4" x14ac:dyDescent="0.25">
      <c r="A106" s="4" t="s">
        <v>68</v>
      </c>
      <c r="B106" s="4">
        <v>9</v>
      </c>
      <c r="C106" s="4">
        <v>13</v>
      </c>
      <c r="D106" s="4">
        <v>10</v>
      </c>
    </row>
    <row r="107" spans="1:4" x14ac:dyDescent="0.25">
      <c r="A107" s="4" t="s">
        <v>68</v>
      </c>
      <c r="B107" s="4">
        <v>10</v>
      </c>
      <c r="C107" s="4">
        <v>15</v>
      </c>
      <c r="D107" s="4">
        <v>12</v>
      </c>
    </row>
    <row r="108" spans="1:4" x14ac:dyDescent="0.25">
      <c r="A108" s="4" t="s">
        <v>68</v>
      </c>
      <c r="B108" s="4">
        <v>11</v>
      </c>
      <c r="C108" s="4">
        <v>11</v>
      </c>
      <c r="D108" s="4">
        <v>9</v>
      </c>
    </row>
    <row r="109" spans="1:4" x14ac:dyDescent="0.25">
      <c r="A109" s="4" t="s">
        <v>68</v>
      </c>
      <c r="B109" s="4">
        <v>12</v>
      </c>
      <c r="C109" s="4">
        <v>14</v>
      </c>
      <c r="D109" s="4">
        <v>11</v>
      </c>
    </row>
    <row r="110" spans="1:4" x14ac:dyDescent="0.25">
      <c r="A110" s="4" t="s">
        <v>72</v>
      </c>
      <c r="B110" s="4">
        <v>1</v>
      </c>
      <c r="C110" s="4">
        <v>14</v>
      </c>
      <c r="D110" s="4">
        <v>8</v>
      </c>
    </row>
    <row r="111" spans="1:4" x14ac:dyDescent="0.25">
      <c r="A111" s="4" t="s">
        <v>72</v>
      </c>
      <c r="B111" s="4">
        <v>2</v>
      </c>
      <c r="C111" s="4">
        <v>10</v>
      </c>
      <c r="D111" s="4">
        <v>7</v>
      </c>
    </row>
    <row r="112" spans="1:4" x14ac:dyDescent="0.25">
      <c r="A112" s="4" t="s">
        <v>72</v>
      </c>
      <c r="B112" s="4">
        <v>3</v>
      </c>
      <c r="C112" s="4">
        <v>13</v>
      </c>
      <c r="D112" s="4">
        <v>9</v>
      </c>
    </row>
    <row r="113" spans="1:4" x14ac:dyDescent="0.25">
      <c r="A113" s="4" t="s">
        <v>72</v>
      </c>
      <c r="B113" s="4">
        <v>4</v>
      </c>
      <c r="C113" s="4">
        <v>11</v>
      </c>
      <c r="D113" s="4">
        <v>6</v>
      </c>
    </row>
    <row r="114" spans="1:4" x14ac:dyDescent="0.25">
      <c r="A114" s="4" t="s">
        <v>72</v>
      </c>
      <c r="B114" s="4">
        <v>5</v>
      </c>
      <c r="C114" s="4">
        <v>10</v>
      </c>
      <c r="D114" s="4">
        <v>5</v>
      </c>
    </row>
    <row r="115" spans="1:4" x14ac:dyDescent="0.25">
      <c r="A115" s="4" t="s">
        <v>72</v>
      </c>
      <c r="B115" s="4">
        <v>6</v>
      </c>
      <c r="C115" s="4">
        <v>15</v>
      </c>
      <c r="D115" s="4">
        <v>9</v>
      </c>
    </row>
    <row r="116" spans="1:4" x14ac:dyDescent="0.25">
      <c r="A116" s="4" t="s">
        <v>72</v>
      </c>
      <c r="B116" s="4">
        <v>7</v>
      </c>
      <c r="C116" s="4">
        <v>12</v>
      </c>
      <c r="D116" s="4">
        <v>7</v>
      </c>
    </row>
    <row r="117" spans="1:4" x14ac:dyDescent="0.25">
      <c r="A117" s="4" t="s">
        <v>72</v>
      </c>
      <c r="B117" s="4">
        <v>8</v>
      </c>
      <c r="C117" s="4">
        <v>14</v>
      </c>
      <c r="D117" s="4">
        <v>8</v>
      </c>
    </row>
    <row r="118" spans="1:4" x14ac:dyDescent="0.25">
      <c r="A118" s="4" t="s">
        <v>72</v>
      </c>
      <c r="B118" s="4">
        <v>9</v>
      </c>
      <c r="C118" s="4">
        <v>15</v>
      </c>
      <c r="D118" s="4">
        <v>10</v>
      </c>
    </row>
    <row r="119" spans="1:4" x14ac:dyDescent="0.25">
      <c r="A119" s="4" t="s">
        <v>72</v>
      </c>
      <c r="B119" s="4">
        <v>10</v>
      </c>
      <c r="C119" s="4">
        <v>13</v>
      </c>
      <c r="D119" s="4">
        <v>7</v>
      </c>
    </row>
    <row r="120" spans="1:4" x14ac:dyDescent="0.25">
      <c r="A120" s="4" t="s">
        <v>72</v>
      </c>
      <c r="B120" s="4">
        <v>11</v>
      </c>
      <c r="C120" s="4">
        <v>8</v>
      </c>
      <c r="D120" s="4">
        <v>5</v>
      </c>
    </row>
    <row r="121" spans="1:4" x14ac:dyDescent="0.25">
      <c r="A121" s="4" t="s">
        <v>72</v>
      </c>
      <c r="B121" s="4">
        <v>12</v>
      </c>
      <c r="C121" s="4">
        <v>15</v>
      </c>
      <c r="D121" s="4">
        <v>9</v>
      </c>
    </row>
    <row r="122" spans="1:4" x14ac:dyDescent="0.25">
      <c r="A122" s="4" t="s">
        <v>74</v>
      </c>
      <c r="B122" s="4">
        <v>1</v>
      </c>
      <c r="C122" s="4">
        <v>12</v>
      </c>
      <c r="D122" s="4">
        <v>10</v>
      </c>
    </row>
    <row r="123" spans="1:4" x14ac:dyDescent="0.25">
      <c r="A123" s="4" t="s">
        <v>74</v>
      </c>
      <c r="B123" s="4">
        <v>2</v>
      </c>
      <c r="C123" s="4">
        <v>14</v>
      </c>
      <c r="D123" s="4">
        <v>13</v>
      </c>
    </row>
    <row r="124" spans="1:4" x14ac:dyDescent="0.25">
      <c r="A124" s="4" t="s">
        <v>74</v>
      </c>
      <c r="B124" s="4">
        <v>3</v>
      </c>
      <c r="C124" s="4">
        <v>10</v>
      </c>
      <c r="D124" s="4">
        <v>10</v>
      </c>
    </row>
    <row r="125" spans="1:4" x14ac:dyDescent="0.25">
      <c r="A125" s="4" t="s">
        <v>74</v>
      </c>
      <c r="B125" s="4">
        <v>4</v>
      </c>
      <c r="C125" s="4">
        <v>14</v>
      </c>
      <c r="D125" s="4">
        <v>13</v>
      </c>
    </row>
    <row r="126" spans="1:4" x14ac:dyDescent="0.25">
      <c r="A126" s="4" t="s">
        <v>74</v>
      </c>
      <c r="B126" s="4">
        <v>5</v>
      </c>
      <c r="C126" s="4">
        <v>13</v>
      </c>
      <c r="D126" s="4">
        <v>12</v>
      </c>
    </row>
    <row r="127" spans="1:4" x14ac:dyDescent="0.25">
      <c r="A127" s="4" t="s">
        <v>74</v>
      </c>
      <c r="B127" s="4">
        <v>6</v>
      </c>
      <c r="C127" s="4">
        <v>11</v>
      </c>
      <c r="D127" s="4">
        <v>10</v>
      </c>
    </row>
    <row r="128" spans="1:4" x14ac:dyDescent="0.25">
      <c r="A128" s="4" t="s">
        <v>74</v>
      </c>
      <c r="B128" s="4">
        <v>7</v>
      </c>
      <c r="C128" s="4">
        <v>13</v>
      </c>
      <c r="D128" s="4">
        <v>12</v>
      </c>
    </row>
    <row r="129" spans="1:4" x14ac:dyDescent="0.25">
      <c r="A129" s="4" t="s">
        <v>74</v>
      </c>
      <c r="B129" s="4">
        <v>8</v>
      </c>
      <c r="C129" s="4">
        <v>15</v>
      </c>
      <c r="D129" s="4">
        <v>14</v>
      </c>
    </row>
    <row r="130" spans="1:4" x14ac:dyDescent="0.25">
      <c r="A130" s="4" t="s">
        <v>74</v>
      </c>
      <c r="B130" s="4">
        <v>9</v>
      </c>
      <c r="C130" s="4">
        <v>12</v>
      </c>
      <c r="D130" s="4">
        <v>12</v>
      </c>
    </row>
    <row r="131" spans="1:4" x14ac:dyDescent="0.25">
      <c r="A131" s="4" t="s">
        <v>74</v>
      </c>
      <c r="B131" s="4">
        <v>10</v>
      </c>
      <c r="C131" s="4">
        <v>9</v>
      </c>
      <c r="D131" s="4">
        <v>8</v>
      </c>
    </row>
    <row r="132" spans="1:4" x14ac:dyDescent="0.25">
      <c r="A132" s="4" t="s">
        <v>74</v>
      </c>
      <c r="B132" s="4">
        <v>11</v>
      </c>
      <c r="C132" s="4">
        <v>10</v>
      </c>
      <c r="D132" s="4">
        <v>10</v>
      </c>
    </row>
    <row r="133" spans="1:4" x14ac:dyDescent="0.25">
      <c r="A133" s="4" t="s">
        <v>74</v>
      </c>
      <c r="B133" s="4">
        <v>12</v>
      </c>
      <c r="C133" s="4">
        <v>13</v>
      </c>
      <c r="D133" s="4">
        <v>12</v>
      </c>
    </row>
    <row r="134" spans="1:4" x14ac:dyDescent="0.25">
      <c r="A134" s="4" t="s">
        <v>77</v>
      </c>
      <c r="B134" s="4">
        <v>1</v>
      </c>
      <c r="C134" s="4">
        <v>13</v>
      </c>
      <c r="D134" s="4">
        <v>10</v>
      </c>
    </row>
    <row r="135" spans="1:4" x14ac:dyDescent="0.25">
      <c r="A135" s="4" t="s">
        <v>77</v>
      </c>
      <c r="B135" s="4">
        <v>2</v>
      </c>
      <c r="C135" s="4">
        <v>14</v>
      </c>
      <c r="D135" s="4">
        <v>11</v>
      </c>
    </row>
    <row r="136" spans="1:4" x14ac:dyDescent="0.25">
      <c r="A136" s="4" t="s">
        <v>77</v>
      </c>
      <c r="B136" s="4">
        <v>3</v>
      </c>
      <c r="C136" s="4">
        <v>8</v>
      </c>
      <c r="D136" s="4">
        <v>7</v>
      </c>
    </row>
    <row r="137" spans="1:4" x14ac:dyDescent="0.25">
      <c r="A137" s="4" t="s">
        <v>77</v>
      </c>
      <c r="B137" s="4">
        <v>4</v>
      </c>
      <c r="C137" s="4">
        <v>13</v>
      </c>
      <c r="D137" s="4">
        <v>11</v>
      </c>
    </row>
    <row r="138" spans="1:4" x14ac:dyDescent="0.25">
      <c r="A138" s="4" t="s">
        <v>77</v>
      </c>
      <c r="B138" s="4">
        <v>5</v>
      </c>
      <c r="C138" s="4">
        <v>15</v>
      </c>
      <c r="D138" s="4">
        <v>11</v>
      </c>
    </row>
    <row r="139" spans="1:4" x14ac:dyDescent="0.25">
      <c r="A139" s="4" t="s">
        <v>77</v>
      </c>
      <c r="B139" s="4">
        <v>6</v>
      </c>
      <c r="C139" s="4">
        <v>10</v>
      </c>
      <c r="D139" s="4">
        <v>8</v>
      </c>
    </row>
    <row r="140" spans="1:4" x14ac:dyDescent="0.25">
      <c r="A140" s="4" t="s">
        <v>77</v>
      </c>
      <c r="B140" s="4">
        <v>7</v>
      </c>
      <c r="C140" s="4">
        <v>13</v>
      </c>
      <c r="D140" s="4">
        <v>11</v>
      </c>
    </row>
    <row r="141" spans="1:4" x14ac:dyDescent="0.25">
      <c r="A141" s="4" t="s">
        <v>77</v>
      </c>
      <c r="B141" s="4">
        <v>8</v>
      </c>
      <c r="C141" s="4">
        <v>14</v>
      </c>
      <c r="D141" s="4">
        <v>11</v>
      </c>
    </row>
    <row r="142" spans="1:4" x14ac:dyDescent="0.25">
      <c r="A142" s="4" t="s">
        <v>77</v>
      </c>
      <c r="B142" s="4">
        <v>9</v>
      </c>
      <c r="C142" s="4">
        <v>12</v>
      </c>
      <c r="D142" s="4">
        <v>9</v>
      </c>
    </row>
    <row r="143" spans="1:4" x14ac:dyDescent="0.25">
      <c r="A143" s="4" t="s">
        <v>77</v>
      </c>
      <c r="B143" s="4">
        <v>10</v>
      </c>
      <c r="C143" s="4">
        <v>15</v>
      </c>
      <c r="D143" s="4">
        <v>11</v>
      </c>
    </row>
    <row r="144" spans="1:4" x14ac:dyDescent="0.25">
      <c r="A144" s="4" t="s">
        <v>77</v>
      </c>
      <c r="B144" s="4">
        <v>11</v>
      </c>
      <c r="C144" s="4">
        <v>12</v>
      </c>
      <c r="D144" s="4">
        <v>9</v>
      </c>
    </row>
    <row r="145" spans="1:4" x14ac:dyDescent="0.25">
      <c r="A145" s="4" t="s">
        <v>77</v>
      </c>
      <c r="B145" s="4">
        <v>12</v>
      </c>
      <c r="C145" s="4">
        <v>13</v>
      </c>
      <c r="D145" s="4">
        <v>10</v>
      </c>
    </row>
    <row r="146" spans="1:4" x14ac:dyDescent="0.25">
      <c r="A146" s="4" t="s">
        <v>79</v>
      </c>
      <c r="B146" s="4">
        <v>1</v>
      </c>
      <c r="C146" s="4">
        <v>9</v>
      </c>
      <c r="D146" s="4">
        <v>8</v>
      </c>
    </row>
    <row r="147" spans="1:4" x14ac:dyDescent="0.25">
      <c r="A147" s="4" t="s">
        <v>79</v>
      </c>
      <c r="B147" s="4">
        <v>2</v>
      </c>
      <c r="C147" s="4">
        <v>8</v>
      </c>
      <c r="D147" s="4">
        <v>6</v>
      </c>
    </row>
    <row r="148" spans="1:4" x14ac:dyDescent="0.25">
      <c r="A148" s="4" t="s">
        <v>79</v>
      </c>
      <c r="B148" s="4">
        <v>3</v>
      </c>
      <c r="C148" s="4">
        <v>15</v>
      </c>
      <c r="D148" s="4">
        <v>12</v>
      </c>
    </row>
    <row r="149" spans="1:4" x14ac:dyDescent="0.25">
      <c r="A149" s="4" t="s">
        <v>79</v>
      </c>
      <c r="B149" s="4">
        <v>4</v>
      </c>
      <c r="C149" s="4">
        <v>11</v>
      </c>
      <c r="D149" s="4">
        <v>10</v>
      </c>
    </row>
    <row r="150" spans="1:4" x14ac:dyDescent="0.25">
      <c r="A150" s="4" t="s">
        <v>79</v>
      </c>
      <c r="B150" s="4">
        <v>5</v>
      </c>
      <c r="C150" s="4">
        <v>8</v>
      </c>
      <c r="D150" s="4">
        <v>6</v>
      </c>
    </row>
    <row r="151" spans="1:4" x14ac:dyDescent="0.25">
      <c r="A151" s="4" t="s">
        <v>79</v>
      </c>
      <c r="B151" s="4">
        <v>6</v>
      </c>
      <c r="C151" s="4">
        <v>14</v>
      </c>
      <c r="D151" s="4">
        <v>11</v>
      </c>
    </row>
    <row r="152" spans="1:4" x14ac:dyDescent="0.25">
      <c r="A152" s="4" t="s">
        <v>79</v>
      </c>
      <c r="B152" s="4">
        <v>7</v>
      </c>
      <c r="C152" s="4">
        <v>10</v>
      </c>
      <c r="D152" s="4">
        <v>8</v>
      </c>
    </row>
    <row r="153" spans="1:4" x14ac:dyDescent="0.25">
      <c r="A153" s="4" t="s">
        <v>79</v>
      </c>
      <c r="B153" s="4">
        <v>8</v>
      </c>
      <c r="C153" s="4">
        <v>9</v>
      </c>
      <c r="D153" s="4">
        <v>7</v>
      </c>
    </row>
    <row r="154" spans="1:4" x14ac:dyDescent="0.25">
      <c r="A154" s="4" t="s">
        <v>79</v>
      </c>
      <c r="B154" s="4">
        <v>9</v>
      </c>
      <c r="C154" s="4">
        <v>11</v>
      </c>
      <c r="D154" s="4">
        <v>9</v>
      </c>
    </row>
    <row r="155" spans="1:4" x14ac:dyDescent="0.25">
      <c r="A155" s="4" t="s">
        <v>79</v>
      </c>
      <c r="B155" s="4">
        <v>10</v>
      </c>
      <c r="C155" s="4">
        <v>10</v>
      </c>
      <c r="D155" s="4">
        <v>8</v>
      </c>
    </row>
    <row r="156" spans="1:4" x14ac:dyDescent="0.25">
      <c r="A156" s="4" t="s">
        <v>79</v>
      </c>
      <c r="B156" s="4">
        <v>11</v>
      </c>
      <c r="C156" s="4">
        <v>14</v>
      </c>
      <c r="D156" s="4">
        <v>11</v>
      </c>
    </row>
    <row r="157" spans="1:4" x14ac:dyDescent="0.25">
      <c r="A157" s="4" t="s">
        <v>79</v>
      </c>
      <c r="B157" s="4">
        <v>12</v>
      </c>
      <c r="C157" s="4">
        <v>15</v>
      </c>
      <c r="D157" s="4">
        <v>11</v>
      </c>
    </row>
    <row r="158" spans="1:4" x14ac:dyDescent="0.25">
      <c r="A158" s="4" t="s">
        <v>82</v>
      </c>
      <c r="B158" s="4">
        <v>1</v>
      </c>
      <c r="C158" s="4">
        <v>8</v>
      </c>
      <c r="D158" s="4">
        <v>4</v>
      </c>
    </row>
    <row r="159" spans="1:4" x14ac:dyDescent="0.25">
      <c r="A159" s="4" t="s">
        <v>82</v>
      </c>
      <c r="B159" s="4">
        <v>2</v>
      </c>
      <c r="C159" s="4">
        <v>13</v>
      </c>
      <c r="D159" s="4">
        <v>6</v>
      </c>
    </row>
    <row r="160" spans="1:4" x14ac:dyDescent="0.25">
      <c r="A160" s="4" t="s">
        <v>82</v>
      </c>
      <c r="B160" s="4">
        <v>3</v>
      </c>
      <c r="C160" s="4">
        <v>15</v>
      </c>
      <c r="D160" s="4">
        <v>8</v>
      </c>
    </row>
    <row r="161" spans="1:4" x14ac:dyDescent="0.25">
      <c r="A161" s="4" t="s">
        <v>82</v>
      </c>
      <c r="B161" s="4">
        <v>4</v>
      </c>
      <c r="C161" s="4">
        <v>10</v>
      </c>
      <c r="D161" s="4">
        <v>6</v>
      </c>
    </row>
    <row r="162" spans="1:4" x14ac:dyDescent="0.25">
      <c r="A162" s="4" t="s">
        <v>82</v>
      </c>
      <c r="B162" s="4">
        <v>5</v>
      </c>
      <c r="C162" s="4">
        <v>15</v>
      </c>
      <c r="D162" s="4">
        <v>10</v>
      </c>
    </row>
    <row r="163" spans="1:4" x14ac:dyDescent="0.25">
      <c r="A163" s="4" t="s">
        <v>82</v>
      </c>
      <c r="B163" s="4">
        <v>6</v>
      </c>
      <c r="C163" s="4">
        <v>13</v>
      </c>
      <c r="D163" s="4">
        <v>7</v>
      </c>
    </row>
    <row r="164" spans="1:4" x14ac:dyDescent="0.25">
      <c r="A164" s="4" t="s">
        <v>82</v>
      </c>
      <c r="B164" s="4">
        <v>7</v>
      </c>
      <c r="C164" s="4">
        <v>12</v>
      </c>
      <c r="D164" s="4">
        <v>6</v>
      </c>
    </row>
    <row r="165" spans="1:4" x14ac:dyDescent="0.25">
      <c r="A165" s="4" t="s">
        <v>82</v>
      </c>
      <c r="B165" s="4">
        <v>8</v>
      </c>
      <c r="C165" s="4">
        <v>11</v>
      </c>
      <c r="D165" s="4">
        <v>6</v>
      </c>
    </row>
    <row r="166" spans="1:4" x14ac:dyDescent="0.25">
      <c r="A166" s="4" t="s">
        <v>82</v>
      </c>
      <c r="B166" s="4">
        <v>9</v>
      </c>
      <c r="C166" s="4">
        <v>12</v>
      </c>
      <c r="D166" s="4">
        <v>6</v>
      </c>
    </row>
    <row r="167" spans="1:4" x14ac:dyDescent="0.25">
      <c r="A167" s="4" t="s">
        <v>82</v>
      </c>
      <c r="B167" s="4">
        <v>10</v>
      </c>
      <c r="C167" s="4">
        <v>12</v>
      </c>
      <c r="D167" s="4">
        <v>7</v>
      </c>
    </row>
    <row r="168" spans="1:4" x14ac:dyDescent="0.25">
      <c r="A168" s="4" t="s">
        <v>82</v>
      </c>
      <c r="B168" s="4">
        <v>11</v>
      </c>
      <c r="C168" s="4">
        <v>12</v>
      </c>
      <c r="D168" s="4">
        <v>7</v>
      </c>
    </row>
    <row r="169" spans="1:4" x14ac:dyDescent="0.25">
      <c r="A169" s="4" t="s">
        <v>82</v>
      </c>
      <c r="B169" s="4">
        <v>12</v>
      </c>
      <c r="C169" s="4">
        <v>15</v>
      </c>
      <c r="D169" s="4">
        <v>7</v>
      </c>
    </row>
    <row r="170" spans="1:4" x14ac:dyDescent="0.25">
      <c r="A170" s="4" t="s">
        <v>84</v>
      </c>
      <c r="B170" s="4">
        <v>1</v>
      </c>
      <c r="C170" s="4">
        <v>13</v>
      </c>
      <c r="D170" s="4">
        <v>6</v>
      </c>
    </row>
    <row r="171" spans="1:4" x14ac:dyDescent="0.25">
      <c r="A171" s="4" t="s">
        <v>84</v>
      </c>
      <c r="B171" s="4">
        <v>2</v>
      </c>
      <c r="C171" s="4">
        <v>12</v>
      </c>
      <c r="D171" s="4">
        <v>7</v>
      </c>
    </row>
    <row r="172" spans="1:4" x14ac:dyDescent="0.25">
      <c r="A172" s="4" t="s">
        <v>84</v>
      </c>
      <c r="B172" s="4">
        <v>3</v>
      </c>
      <c r="C172" s="4">
        <v>12</v>
      </c>
      <c r="D172" s="4">
        <v>8</v>
      </c>
    </row>
    <row r="173" spans="1:4" x14ac:dyDescent="0.25">
      <c r="A173" s="4" t="s">
        <v>84</v>
      </c>
      <c r="B173" s="4">
        <v>4</v>
      </c>
      <c r="C173" s="4">
        <v>14</v>
      </c>
      <c r="D173" s="4">
        <v>11</v>
      </c>
    </row>
    <row r="174" spans="1:4" x14ac:dyDescent="0.25">
      <c r="A174" s="4" t="s">
        <v>84</v>
      </c>
      <c r="B174" s="4">
        <v>5</v>
      </c>
      <c r="C174" s="4">
        <v>14</v>
      </c>
      <c r="D174" s="4">
        <v>12</v>
      </c>
    </row>
    <row r="175" spans="1:4" x14ac:dyDescent="0.25">
      <c r="A175" s="4" t="s">
        <v>84</v>
      </c>
      <c r="B175" s="4">
        <v>6</v>
      </c>
      <c r="C175" s="4">
        <v>10</v>
      </c>
      <c r="D175" s="4">
        <v>7</v>
      </c>
    </row>
    <row r="176" spans="1:4" x14ac:dyDescent="0.25">
      <c r="A176" s="4" t="s">
        <v>84</v>
      </c>
      <c r="B176" s="4">
        <v>7</v>
      </c>
      <c r="C176" s="4">
        <v>12</v>
      </c>
      <c r="D176" s="4">
        <v>12</v>
      </c>
    </row>
    <row r="177" spans="1:4" x14ac:dyDescent="0.25">
      <c r="A177" s="4" t="s">
        <v>84</v>
      </c>
      <c r="B177" s="4">
        <v>8</v>
      </c>
      <c r="C177" s="4">
        <v>9</v>
      </c>
      <c r="D177" s="4">
        <v>9</v>
      </c>
    </row>
    <row r="178" spans="1:4" x14ac:dyDescent="0.25">
      <c r="A178" s="4" t="s">
        <v>84</v>
      </c>
      <c r="B178" s="4">
        <v>9</v>
      </c>
      <c r="C178" s="4">
        <v>13</v>
      </c>
      <c r="D178" s="4">
        <v>13</v>
      </c>
    </row>
    <row r="179" spans="1:4" x14ac:dyDescent="0.25">
      <c r="A179" s="4" t="s">
        <v>84</v>
      </c>
      <c r="B179" s="4">
        <v>10</v>
      </c>
      <c r="C179" s="4">
        <v>15</v>
      </c>
      <c r="D179" s="4">
        <v>15</v>
      </c>
    </row>
    <row r="180" spans="1:4" x14ac:dyDescent="0.25">
      <c r="A180" s="4" t="s">
        <v>84</v>
      </c>
      <c r="B180" s="4">
        <v>11</v>
      </c>
      <c r="C180" s="4">
        <v>11</v>
      </c>
      <c r="D180" s="4">
        <v>11</v>
      </c>
    </row>
    <row r="181" spans="1:4" x14ac:dyDescent="0.25">
      <c r="A181" s="4" t="s">
        <v>84</v>
      </c>
      <c r="B181" s="4">
        <v>12</v>
      </c>
      <c r="C181" s="4">
        <v>12</v>
      </c>
      <c r="D181" s="4">
        <v>12</v>
      </c>
    </row>
    <row r="182" spans="1:4" x14ac:dyDescent="0.25">
      <c r="A182" s="4" t="s">
        <v>86</v>
      </c>
      <c r="B182" s="4">
        <v>1</v>
      </c>
      <c r="C182" s="4">
        <v>10</v>
      </c>
      <c r="D182" s="4">
        <v>10</v>
      </c>
    </row>
    <row r="183" spans="1:4" x14ac:dyDescent="0.25">
      <c r="A183" s="4" t="s">
        <v>86</v>
      </c>
      <c r="B183" s="4">
        <v>2</v>
      </c>
      <c r="C183" s="4">
        <v>11</v>
      </c>
      <c r="D183" s="4">
        <v>11</v>
      </c>
    </row>
    <row r="184" spans="1:4" x14ac:dyDescent="0.25">
      <c r="A184" s="4" t="s">
        <v>86</v>
      </c>
      <c r="B184" s="4">
        <v>3</v>
      </c>
      <c r="C184" s="4">
        <v>11</v>
      </c>
      <c r="D184" s="4">
        <v>11</v>
      </c>
    </row>
    <row r="185" spans="1:4" x14ac:dyDescent="0.25">
      <c r="A185" s="4" t="s">
        <v>86</v>
      </c>
      <c r="B185" s="4">
        <v>4</v>
      </c>
      <c r="C185" s="4">
        <v>11</v>
      </c>
      <c r="D185" s="4">
        <v>11</v>
      </c>
    </row>
    <row r="186" spans="1:4" x14ac:dyDescent="0.25">
      <c r="A186" s="4" t="s">
        <v>86</v>
      </c>
      <c r="B186" s="4">
        <v>5</v>
      </c>
      <c r="C186" s="4">
        <v>11</v>
      </c>
      <c r="D186" s="4">
        <v>11</v>
      </c>
    </row>
    <row r="187" spans="1:4" x14ac:dyDescent="0.25">
      <c r="A187" s="4" t="s">
        <v>86</v>
      </c>
      <c r="B187" s="4">
        <v>6</v>
      </c>
      <c r="C187" s="4">
        <v>15</v>
      </c>
      <c r="D187" s="4">
        <v>14</v>
      </c>
    </row>
    <row r="188" spans="1:4" x14ac:dyDescent="0.25">
      <c r="A188" s="4" t="s">
        <v>86</v>
      </c>
      <c r="B188" s="4">
        <v>7</v>
      </c>
      <c r="C188" s="4">
        <v>9</v>
      </c>
      <c r="D188" s="4">
        <v>8</v>
      </c>
    </row>
    <row r="189" spans="1:4" x14ac:dyDescent="0.25">
      <c r="A189" s="4" t="s">
        <v>86</v>
      </c>
      <c r="B189" s="4">
        <v>8</v>
      </c>
      <c r="C189" s="4">
        <v>10</v>
      </c>
      <c r="D189" s="4">
        <v>9</v>
      </c>
    </row>
    <row r="190" spans="1:4" x14ac:dyDescent="0.25">
      <c r="A190" s="4" t="s">
        <v>86</v>
      </c>
      <c r="B190" s="4">
        <v>9</v>
      </c>
      <c r="C190" s="4">
        <v>14</v>
      </c>
      <c r="D190" s="4">
        <v>12</v>
      </c>
    </row>
    <row r="191" spans="1:4" x14ac:dyDescent="0.25">
      <c r="A191" s="4" t="s">
        <v>86</v>
      </c>
      <c r="B191" s="4">
        <v>10</v>
      </c>
      <c r="C191" s="4">
        <v>15</v>
      </c>
      <c r="D191" s="4">
        <v>13</v>
      </c>
    </row>
    <row r="192" spans="1:4" x14ac:dyDescent="0.25">
      <c r="A192" s="4" t="s">
        <v>86</v>
      </c>
      <c r="B192" s="4">
        <v>11</v>
      </c>
      <c r="C192" s="4">
        <v>15</v>
      </c>
      <c r="D192" s="4">
        <v>14</v>
      </c>
    </row>
    <row r="193" spans="1:4" x14ac:dyDescent="0.25">
      <c r="A193" s="4" t="s">
        <v>86</v>
      </c>
      <c r="B193" s="4">
        <v>12</v>
      </c>
      <c r="C193" s="4">
        <v>12</v>
      </c>
      <c r="D193" s="4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zoomScaleNormal="100" workbookViewId="0">
      <pane ySplit="1" topLeftCell="A2" activePane="bottomLeft" state="frozen"/>
      <selection pane="bottomLeft" activeCell="D3" sqref="D3"/>
    </sheetView>
  </sheetViews>
  <sheetFormatPr defaultColWidth="8.7109375" defaultRowHeight="15" x14ac:dyDescent="0.25"/>
  <cols>
    <col min="1" max="1" width="10" customWidth="1"/>
    <col min="2" max="2" width="12" customWidth="1"/>
    <col min="3" max="3" width="20" customWidth="1"/>
    <col min="4" max="4" width="22" customWidth="1"/>
  </cols>
  <sheetData>
    <row r="1" spans="1:4" x14ac:dyDescent="0.25">
      <c r="A1" s="3" t="s">
        <v>20</v>
      </c>
      <c r="B1" s="3" t="s">
        <v>101</v>
      </c>
      <c r="C1" s="3" t="s">
        <v>102</v>
      </c>
      <c r="D1" s="3" t="s">
        <v>103</v>
      </c>
    </row>
    <row r="2" spans="1:4" x14ac:dyDescent="0.25">
      <c r="A2" s="4" t="s">
        <v>52</v>
      </c>
      <c r="B2" s="4" t="s">
        <v>104</v>
      </c>
      <c r="C2" s="4">
        <v>86.1</v>
      </c>
      <c r="D2" s="4">
        <v>4.7</v>
      </c>
    </row>
    <row r="3" spans="1:4" x14ac:dyDescent="0.25">
      <c r="A3" s="4" t="s">
        <v>52</v>
      </c>
      <c r="B3" s="4" t="s">
        <v>105</v>
      </c>
      <c r="C3" s="4">
        <v>89.1</v>
      </c>
      <c r="D3" s="4">
        <v>4.4000000000000004</v>
      </c>
    </row>
    <row r="4" spans="1:4" x14ac:dyDescent="0.25">
      <c r="A4" s="4" t="s">
        <v>56</v>
      </c>
      <c r="B4" s="4" t="s">
        <v>104</v>
      </c>
      <c r="C4" s="4">
        <v>71.599999999999994</v>
      </c>
      <c r="D4" s="4">
        <v>3.4</v>
      </c>
    </row>
    <row r="5" spans="1:4" x14ac:dyDescent="0.25">
      <c r="A5" s="4" t="s">
        <v>56</v>
      </c>
      <c r="B5" s="4" t="s">
        <v>105</v>
      </c>
      <c r="C5" s="4">
        <v>74.400000000000006</v>
      </c>
      <c r="D5" s="4">
        <v>3</v>
      </c>
    </row>
    <row r="6" spans="1:4" x14ac:dyDescent="0.25">
      <c r="A6" s="4" t="s">
        <v>58</v>
      </c>
      <c r="B6" s="4" t="s">
        <v>104</v>
      </c>
      <c r="C6" s="4">
        <v>86.6</v>
      </c>
      <c r="D6" s="4">
        <v>4.2</v>
      </c>
    </row>
    <row r="7" spans="1:4" x14ac:dyDescent="0.25">
      <c r="A7" s="4" t="s">
        <v>58</v>
      </c>
      <c r="B7" s="4" t="s">
        <v>105</v>
      </c>
      <c r="C7" s="4">
        <v>35</v>
      </c>
      <c r="D7" s="4">
        <v>1.6</v>
      </c>
    </row>
    <row r="8" spans="1:4" x14ac:dyDescent="0.25">
      <c r="A8" s="4" t="s">
        <v>61</v>
      </c>
      <c r="B8" s="4" t="s">
        <v>104</v>
      </c>
      <c r="C8" s="4">
        <v>88</v>
      </c>
      <c r="D8" s="4">
        <v>3.9</v>
      </c>
    </row>
    <row r="9" spans="1:4" x14ac:dyDescent="0.25">
      <c r="A9" s="4" t="s">
        <v>61</v>
      </c>
      <c r="B9" s="4" t="s">
        <v>105</v>
      </c>
      <c r="C9" s="4">
        <v>72.3</v>
      </c>
      <c r="D9" s="4">
        <v>3.8</v>
      </c>
    </row>
    <row r="10" spans="1:4" x14ac:dyDescent="0.25">
      <c r="A10" s="4" t="s">
        <v>63</v>
      </c>
      <c r="B10" s="4" t="s">
        <v>104</v>
      </c>
      <c r="C10" s="4">
        <v>95.1</v>
      </c>
      <c r="D10" s="4">
        <v>4.5</v>
      </c>
    </row>
    <row r="11" spans="1:4" x14ac:dyDescent="0.25">
      <c r="A11" s="4" t="s">
        <v>63</v>
      </c>
      <c r="B11" s="4" t="s">
        <v>105</v>
      </c>
      <c r="C11" s="4">
        <v>93.5</v>
      </c>
      <c r="D11" s="4">
        <v>4.4000000000000004</v>
      </c>
    </row>
    <row r="12" spans="1:4" x14ac:dyDescent="0.25">
      <c r="A12" s="4" t="s">
        <v>66</v>
      </c>
      <c r="B12" s="4" t="s">
        <v>104</v>
      </c>
      <c r="C12" s="4">
        <v>68.5</v>
      </c>
      <c r="D12" s="4">
        <v>3.4</v>
      </c>
    </row>
    <row r="13" spans="1:4" x14ac:dyDescent="0.25">
      <c r="A13" s="4" t="s">
        <v>66</v>
      </c>
      <c r="B13" s="4" t="s">
        <v>105</v>
      </c>
      <c r="C13" s="4">
        <v>73.099999999999994</v>
      </c>
      <c r="D13" s="4">
        <v>4.2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topLeftCell="B1" zoomScaleNormal="100" workbookViewId="0">
      <pane ySplit="1" topLeftCell="A2" activePane="bottomLeft" state="frozen"/>
      <selection pane="bottomLeft" activeCell="H10" sqref="H10"/>
    </sheetView>
  </sheetViews>
  <sheetFormatPr defaultColWidth="8.7109375" defaultRowHeight="15" x14ac:dyDescent="0.25"/>
  <cols>
    <col min="1" max="1" width="10" customWidth="1"/>
    <col min="2" max="2" width="20" customWidth="1"/>
    <col min="3" max="3" width="22" customWidth="1"/>
    <col min="4" max="6" width="12" customWidth="1"/>
    <col min="7" max="7" width="18" customWidth="1"/>
    <col min="8" max="8" width="16" customWidth="1"/>
    <col min="9" max="11" width="12" customWidth="1"/>
    <col min="12" max="12" width="14" customWidth="1"/>
    <col min="13" max="13" width="12" customWidth="1"/>
    <col min="14" max="14" width="18" customWidth="1"/>
    <col min="15" max="15" width="14" customWidth="1"/>
    <col min="16" max="16" width="16" customWidth="1"/>
  </cols>
  <sheetData>
    <row r="1" spans="1:1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  <c r="O1" s="3" t="s">
        <v>116</v>
      </c>
      <c r="P1" s="3" t="s">
        <v>117</v>
      </c>
    </row>
    <row r="2" spans="1:16" x14ac:dyDescent="0.25">
      <c r="A2" s="4" t="str">
        <f>Employees!A2</f>
        <v>E01</v>
      </c>
      <c r="B2" s="4" t="str">
        <f>Employees!B2</f>
        <v>Ayesha Raza</v>
      </c>
      <c r="C2" s="4" t="str">
        <f>Employees!C2</f>
        <v>HR</v>
      </c>
      <c r="D2" s="4" t="str">
        <f>Employees!D2</f>
        <v>Office</v>
      </c>
      <c r="E2" s="7">
        <f>IFERROR(SUMIFS(Attendance!$D:$D,Attendance!$A:$A,$A2)/SUMIFS(Attendance!$C:$C,Attendance!$A:$A,$A2),0)</f>
        <v>0.96180555555555558</v>
      </c>
      <c r="F2" s="7">
        <f>IFERROR(1-SUMIFS(Attendance!$E:$E,Attendance!$A:$A,$A2)/SUMIFS(Attendance!$D:$D,Attendance!$A:$A,$A2),0)</f>
        <v>0.98555956678700363</v>
      </c>
      <c r="G2" s="4">
        <f>SUMIFS(Complaints!$C:$C,Complaints!$A:$A,$A2)</f>
        <v>2</v>
      </c>
      <c r="H2" s="7">
        <f>1-MIN($G2/10,1)</f>
        <v>0.8</v>
      </c>
      <c r="I2" s="7">
        <f>IF($D2="Teaching",IFERROR(AVERAGEIFS(Academic_Results!$C:$C,Academic_Results!$A:$A,$A2)/100,0),IFERROR(SUMIFS(Task_Completion!$D:$D,Task_Completion!$A:$A,$A2)/SUMIFS(Task_Completion!$C:$C,Task_Completion!$A:$A,$A2),0))</f>
        <v>0.95488721804511278</v>
      </c>
      <c r="J2" s="7">
        <f>INDEX(Weights!$B:$B,MATCH($D2,Weights!$A:$A,0))</f>
        <v>0.25</v>
      </c>
      <c r="K2" s="7">
        <f>INDEX(Weights!$C:$C,MATCH($D2,Weights!$A:$A,0))</f>
        <v>0.2</v>
      </c>
      <c r="L2" s="7">
        <f>INDEX(Weights!$D:$D,MATCH($D2,Weights!$A:$A,0))</f>
        <v>0.2</v>
      </c>
      <c r="M2" s="7">
        <f>INDEX(Weights!$E:$E,MATCH($D2,Weights!$A:$A,0))</f>
        <v>0.35</v>
      </c>
      <c r="N2" s="8">
        <f t="shared" ref="N2:N23" si="0">($E2*$J2+$F2*$K2+$H2*$L2+$I2*$M2)*100</f>
        <v>93.177382856207913</v>
      </c>
      <c r="O2" s="4" t="str">
        <f t="shared" ref="O2:O23" si="1">IF($N2&gt;=85,"High",IF($N2&gt;=70,"Medium","Low"))</f>
        <v>High</v>
      </c>
      <c r="P2" s="9">
        <f t="shared" ref="P2:P23" si="2">10+IF($O2="High",5,IF($O2="Medium",0,-3))</f>
        <v>15</v>
      </c>
    </row>
    <row r="3" spans="1:16" x14ac:dyDescent="0.25">
      <c r="A3" s="4" t="str">
        <f>Employees!A3</f>
        <v>E02</v>
      </c>
      <c r="B3" s="4" t="str">
        <f>Employees!B3</f>
        <v>Bilal Ahmed</v>
      </c>
      <c r="C3" s="4" t="str">
        <f>Employees!C3</f>
        <v>Accounts</v>
      </c>
      <c r="D3" s="4" t="str">
        <f>Employees!D3</f>
        <v>Office</v>
      </c>
      <c r="E3" s="7">
        <f>IFERROR(SUMIFS(Attendance!$D:$D,Attendance!$A:$A,$A3)/SUMIFS(Attendance!$C:$C,Attendance!$A:$A,$A3),0)</f>
        <v>0.90277777777777779</v>
      </c>
      <c r="F3" s="7">
        <f>IFERROR(1-SUMIFS(Attendance!$E:$E,Attendance!$A:$A,$A3)/SUMIFS(Attendance!$D:$D,Attendance!$A:$A,$A3),0)</f>
        <v>0.93846153846153846</v>
      </c>
      <c r="G3" s="4">
        <f>SUMIFS(Complaints!$C:$C,Complaints!$A:$A,$A3)</f>
        <v>5</v>
      </c>
      <c r="H3" s="7">
        <f t="shared" ref="H2:H23" si="3">1-MIN($G3/10,1)</f>
        <v>0.5</v>
      </c>
      <c r="I3" s="7">
        <f>IF($D3="Teaching",IFERROR(AVERAGEIFS(Academic_Results!$C:$C,Academic_Results!$A:$A,$A3)/100,0),IFERROR(SUMIFS(Task_Completion!$D:$D,Task_Completion!$A:$A,$A3)/SUMIFS(Task_Completion!$C:$C,Task_Completion!$A:$A,$A3),0))</f>
        <v>0.81756756756756754</v>
      </c>
      <c r="J3" s="7">
        <f>INDEX(Weights!$B:$B,MATCH($D3,Weights!$A:$A,0))</f>
        <v>0.25</v>
      </c>
      <c r="K3" s="7">
        <f>INDEX(Weights!$C:$C,MATCH($D3,Weights!$A:$A,0))</f>
        <v>0.2</v>
      </c>
      <c r="L3" s="7">
        <f>INDEX(Weights!$D:$D,MATCH($D3,Weights!$A:$A,0))</f>
        <v>0.2</v>
      </c>
      <c r="M3" s="7">
        <f>INDEX(Weights!$E:$E,MATCH($D3,Weights!$A:$A,0))</f>
        <v>0.35</v>
      </c>
      <c r="N3" s="8">
        <f t="shared" si="0"/>
        <v>79.953540078540072</v>
      </c>
      <c r="O3" s="4" t="str">
        <f t="shared" si="1"/>
        <v>Medium</v>
      </c>
      <c r="P3" s="9">
        <f t="shared" si="2"/>
        <v>10</v>
      </c>
    </row>
    <row r="4" spans="1:16" x14ac:dyDescent="0.25">
      <c r="A4" s="4" t="str">
        <f>Employees!A4</f>
        <v>E03</v>
      </c>
      <c r="B4" s="4" t="str">
        <f>Employees!B4</f>
        <v>Sana Tariq</v>
      </c>
      <c r="C4" s="4" t="str">
        <f>Employees!C4</f>
        <v>Accounts</v>
      </c>
      <c r="D4" s="4" t="str">
        <f>Employees!D4</f>
        <v>Office</v>
      </c>
      <c r="E4" s="7">
        <f>IFERROR(SUMIFS(Attendance!$D:$D,Attendance!$A:$A,$A4)/SUMIFS(Attendance!$C:$C,Attendance!$A:$A,$A4),0)</f>
        <v>0.80902777777777779</v>
      </c>
      <c r="F4" s="7">
        <f>IFERROR(1-SUMIFS(Attendance!$E:$E,Attendance!$A:$A,$A4)/SUMIFS(Attendance!$D:$D,Attendance!$A:$A,$A4),0)</f>
        <v>0.79828326180257514</v>
      </c>
      <c r="G4" s="4">
        <f>SUMIFS(Complaints!$C:$C,Complaints!$A:$A,$A4)</f>
        <v>19</v>
      </c>
      <c r="H4" s="7">
        <f t="shared" si="3"/>
        <v>0</v>
      </c>
      <c r="I4" s="7">
        <f>IF($D4="Teaching",IFERROR(AVERAGEIFS(Academic_Results!$C:$C,Academic_Results!$A:$A,$A4)/100,0),IFERROR(SUMIFS(Task_Completion!$D:$D,Task_Completion!$A:$A,$A4)/SUMIFS(Task_Completion!$C:$C,Task_Completion!$A:$A,$A4),0))</f>
        <v>0.58695652173913049</v>
      </c>
      <c r="J4" s="7">
        <f>INDEX(Weights!$B:$B,MATCH($D4,Weights!$A:$A,0))</f>
        <v>0.25</v>
      </c>
      <c r="K4" s="7">
        <f>INDEX(Weights!$C:$C,MATCH($D4,Weights!$A:$A,0))</f>
        <v>0.2</v>
      </c>
      <c r="L4" s="7">
        <f>INDEX(Weights!$D:$D,MATCH($D4,Weights!$A:$A,0))</f>
        <v>0.2</v>
      </c>
      <c r="M4" s="7">
        <f>INDEX(Weights!$E:$E,MATCH($D4,Weights!$A:$A,0))</f>
        <v>0.35</v>
      </c>
      <c r="N4" s="8">
        <f t="shared" si="0"/>
        <v>56.734837941365512</v>
      </c>
      <c r="O4" s="4" t="str">
        <f t="shared" si="1"/>
        <v>Low</v>
      </c>
      <c r="P4" s="9">
        <f t="shared" si="2"/>
        <v>7</v>
      </c>
    </row>
    <row r="5" spans="1:16" x14ac:dyDescent="0.25">
      <c r="A5" s="4" t="str">
        <f>Employees!A5</f>
        <v>E04</v>
      </c>
      <c r="B5" s="4" t="str">
        <f>Employees!B5</f>
        <v>Usman Farooq</v>
      </c>
      <c r="C5" s="4" t="str">
        <f>Employees!C5</f>
        <v>Admin</v>
      </c>
      <c r="D5" s="4" t="str">
        <f>Employees!D5</f>
        <v>Office</v>
      </c>
      <c r="E5" s="7">
        <f>IFERROR(SUMIFS(Attendance!$D:$D,Attendance!$A:$A,$A5)/SUMIFS(Attendance!$C:$C,Attendance!$A:$A,$A5),0)</f>
        <v>0.91666666666666663</v>
      </c>
      <c r="F5" s="7">
        <f>IFERROR(1-SUMIFS(Attendance!$E:$E,Attendance!$A:$A,$A5)/SUMIFS(Attendance!$D:$D,Attendance!$A:$A,$A5),0)</f>
        <v>0.93560606060606055</v>
      </c>
      <c r="G5" s="4">
        <f>SUMIFS(Complaints!$C:$C,Complaints!$A:$A,$A5)</f>
        <v>6</v>
      </c>
      <c r="H5" s="7">
        <f t="shared" si="3"/>
        <v>0.4</v>
      </c>
      <c r="I5" s="7">
        <f>IF($D5="Teaching",IFERROR(AVERAGEIFS(Academic_Results!$C:$C,Academic_Results!$A:$A,$A5)/100,0),IFERROR(SUMIFS(Task_Completion!$D:$D,Task_Completion!$A:$A,$A5)/SUMIFS(Task_Completion!$C:$C,Task_Completion!$A:$A,$A5),0))</f>
        <v>0.79259259259259263</v>
      </c>
      <c r="J5" s="7">
        <f>INDEX(Weights!$B:$B,MATCH($D5,Weights!$A:$A,0))</f>
        <v>0.25</v>
      </c>
      <c r="K5" s="7">
        <f>INDEX(Weights!$C:$C,MATCH($D5,Weights!$A:$A,0))</f>
        <v>0.2</v>
      </c>
      <c r="L5" s="7">
        <f>INDEX(Weights!$D:$D,MATCH($D5,Weights!$A:$A,0))</f>
        <v>0.2</v>
      </c>
      <c r="M5" s="7">
        <f>INDEX(Weights!$E:$E,MATCH($D5,Weights!$A:$A,0))</f>
        <v>0.35</v>
      </c>
      <c r="N5" s="8">
        <f t="shared" si="0"/>
        <v>77.369528619528609</v>
      </c>
      <c r="O5" s="4" t="str">
        <f t="shared" si="1"/>
        <v>Medium</v>
      </c>
      <c r="P5" s="9">
        <f t="shared" si="2"/>
        <v>10</v>
      </c>
    </row>
    <row r="6" spans="1:16" x14ac:dyDescent="0.25">
      <c r="A6" s="4" t="str">
        <f>Employees!A6</f>
        <v>E05</v>
      </c>
      <c r="B6" s="4" t="str">
        <f>Employees!B6</f>
        <v>Mahnoor Iqbal</v>
      </c>
      <c r="C6" s="4" t="str">
        <f>Employees!C6</f>
        <v>Admin</v>
      </c>
      <c r="D6" s="4" t="str">
        <f>Employees!D6</f>
        <v>Office</v>
      </c>
      <c r="E6" s="7">
        <f>IFERROR(SUMIFS(Attendance!$D:$D,Attendance!$A:$A,$A6)/SUMIFS(Attendance!$C:$C,Attendance!$A:$A,$A6),0)</f>
        <v>0.84722222222222221</v>
      </c>
      <c r="F6" s="7">
        <f>IFERROR(1-SUMIFS(Attendance!$E:$E,Attendance!$A:$A,$A6)/SUMIFS(Attendance!$D:$D,Attendance!$A:$A,$A6),0)</f>
        <v>0.87295081967213117</v>
      </c>
      <c r="G6" s="4">
        <f>SUMIFS(Complaints!$C:$C,Complaints!$A:$A,$A6)</f>
        <v>6</v>
      </c>
      <c r="H6" s="7">
        <f t="shared" si="3"/>
        <v>0.4</v>
      </c>
      <c r="I6" s="7">
        <f>IF($D6="Teaching",IFERROR(AVERAGEIFS(Academic_Results!$C:$C,Academic_Results!$A:$A,$A6)/100,0),IFERROR(SUMIFS(Task_Completion!$D:$D,Task_Completion!$A:$A,$A6)/SUMIFS(Task_Completion!$C:$C,Task_Completion!$A:$A,$A6),0))</f>
        <v>0.82857142857142863</v>
      </c>
      <c r="J6" s="7">
        <f>INDEX(Weights!$B:$B,MATCH($D6,Weights!$A:$A,0))</f>
        <v>0.25</v>
      </c>
      <c r="K6" s="7">
        <f>INDEX(Weights!$C:$C,MATCH($D6,Weights!$A:$A,0))</f>
        <v>0.2</v>
      </c>
      <c r="L6" s="7">
        <f>INDEX(Weights!$D:$D,MATCH($D6,Weights!$A:$A,0))</f>
        <v>0.2</v>
      </c>
      <c r="M6" s="7">
        <f>INDEX(Weights!$E:$E,MATCH($D6,Weights!$A:$A,0))</f>
        <v>0.35</v>
      </c>
      <c r="N6" s="8">
        <f t="shared" si="0"/>
        <v>75.639571948998167</v>
      </c>
      <c r="O6" s="4" t="str">
        <f t="shared" si="1"/>
        <v>Medium</v>
      </c>
      <c r="P6" s="9">
        <f t="shared" si="2"/>
        <v>10</v>
      </c>
    </row>
    <row r="7" spans="1:16" x14ac:dyDescent="0.25">
      <c r="A7" s="4" t="str">
        <f>Employees!A7</f>
        <v>E06</v>
      </c>
      <c r="B7" s="4" t="str">
        <f>Employees!B7</f>
        <v>Hamza Sheikh</v>
      </c>
      <c r="C7" s="4" t="str">
        <f>Employees!C7</f>
        <v>IT</v>
      </c>
      <c r="D7" s="4" t="str">
        <f>Employees!D7</f>
        <v>Office</v>
      </c>
      <c r="E7" s="7">
        <f>IFERROR(SUMIFS(Attendance!$D:$D,Attendance!$A:$A,$A7)/SUMIFS(Attendance!$C:$C,Attendance!$A:$A,$A7),0)</f>
        <v>0.95486111111111116</v>
      </c>
      <c r="F7" s="7">
        <f>IFERROR(1-SUMIFS(Attendance!$E:$E,Attendance!$A:$A,$A7)/SUMIFS(Attendance!$D:$D,Attendance!$A:$A,$A7),0)</f>
        <v>0.98181818181818181</v>
      </c>
      <c r="G7" s="4">
        <f>SUMIFS(Complaints!$C:$C,Complaints!$A:$A,$A7)</f>
        <v>0</v>
      </c>
      <c r="H7" s="7">
        <f t="shared" si="3"/>
        <v>1</v>
      </c>
      <c r="I7" s="7">
        <f>IF($D7="Teaching",IFERROR(AVERAGEIFS(Academic_Results!$C:$C,Academic_Results!$A:$A,$A7)/100,0),IFERROR(SUMIFS(Task_Completion!$D:$D,Task_Completion!$A:$A,$A7)/SUMIFS(Task_Completion!$C:$C,Task_Completion!$A:$A,$A7),0))</f>
        <v>0.93661971830985913</v>
      </c>
      <c r="J7" s="7">
        <f>INDEX(Weights!$B:$B,MATCH($D7,Weights!$A:$A,0))</f>
        <v>0.25</v>
      </c>
      <c r="K7" s="7">
        <f>INDEX(Weights!$C:$C,MATCH($D7,Weights!$A:$A,0))</f>
        <v>0.2</v>
      </c>
      <c r="L7" s="7">
        <f>INDEX(Weights!$D:$D,MATCH($D7,Weights!$A:$A,0))</f>
        <v>0.2</v>
      </c>
      <c r="M7" s="7">
        <f>INDEX(Weights!$E:$E,MATCH($D7,Weights!$A:$A,0))</f>
        <v>0.35</v>
      </c>
      <c r="N7" s="8">
        <f t="shared" si="0"/>
        <v>96.289581554986484</v>
      </c>
      <c r="O7" s="4" t="str">
        <f t="shared" si="1"/>
        <v>High</v>
      </c>
      <c r="P7" s="9">
        <f t="shared" si="2"/>
        <v>15</v>
      </c>
    </row>
    <row r="8" spans="1:16" x14ac:dyDescent="0.25">
      <c r="A8" s="4" t="str">
        <f>Employees!A8</f>
        <v>E07</v>
      </c>
      <c r="B8" s="4" t="str">
        <f>Employees!B8</f>
        <v>Zara Khan</v>
      </c>
      <c r="C8" s="4" t="str">
        <f>Employees!C8</f>
        <v>IT</v>
      </c>
      <c r="D8" s="4" t="str">
        <f>Employees!D8</f>
        <v>Office</v>
      </c>
      <c r="E8" s="7">
        <f>IFERROR(SUMIFS(Attendance!$D:$D,Attendance!$A:$A,$A8)/SUMIFS(Attendance!$C:$C,Attendance!$A:$A,$A8),0)</f>
        <v>0.92361111111111116</v>
      </c>
      <c r="F8" s="7">
        <f>IFERROR(1-SUMIFS(Attendance!$E:$E,Attendance!$A:$A,$A8)/SUMIFS(Attendance!$D:$D,Attendance!$A:$A,$A8),0)</f>
        <v>0.9135338345864662</v>
      </c>
      <c r="G8" s="4">
        <f>SUMIFS(Complaints!$C:$C,Complaints!$A:$A,$A8)</f>
        <v>3</v>
      </c>
      <c r="H8" s="7">
        <f t="shared" si="3"/>
        <v>0.7</v>
      </c>
      <c r="I8" s="7">
        <f>IF($D8="Teaching",IFERROR(AVERAGEIFS(Academic_Results!$C:$C,Academic_Results!$A:$A,$A8)/100,0),IFERROR(SUMIFS(Task_Completion!$D:$D,Task_Completion!$A:$A,$A8)/SUMIFS(Task_Completion!$C:$C,Task_Completion!$A:$A,$A8),0))</f>
        <v>0.79527559055118113</v>
      </c>
      <c r="J8" s="7">
        <f>INDEX(Weights!$B:$B,MATCH($D8,Weights!$A:$A,0))</f>
        <v>0.25</v>
      </c>
      <c r="K8" s="7">
        <f>INDEX(Weights!$C:$C,MATCH($D8,Weights!$A:$A,0))</f>
        <v>0.2</v>
      </c>
      <c r="L8" s="7">
        <f>INDEX(Weights!$D:$D,MATCH($D8,Weights!$A:$A,0))</f>
        <v>0.2</v>
      </c>
      <c r="M8" s="7">
        <f>INDEX(Weights!$E:$E,MATCH($D8,Weights!$A:$A,0))</f>
        <v>0.35</v>
      </c>
      <c r="N8" s="8">
        <f t="shared" si="0"/>
        <v>83.19560013879844</v>
      </c>
      <c r="O8" s="4" t="str">
        <f t="shared" si="1"/>
        <v>Medium</v>
      </c>
      <c r="P8" s="9">
        <f t="shared" si="2"/>
        <v>10</v>
      </c>
    </row>
    <row r="9" spans="1:16" x14ac:dyDescent="0.25">
      <c r="A9" s="4" t="str">
        <f>Employees!A9</f>
        <v>E08</v>
      </c>
      <c r="B9" s="4" t="str">
        <f>Employees!B9</f>
        <v>Ali Raza</v>
      </c>
      <c r="C9" s="4" t="str">
        <f>Employees!C9</f>
        <v>Media</v>
      </c>
      <c r="D9" s="4" t="str">
        <f>Employees!D9</f>
        <v>Office</v>
      </c>
      <c r="E9" s="7">
        <f>IFERROR(SUMIFS(Attendance!$D:$D,Attendance!$A:$A,$A9)/SUMIFS(Attendance!$C:$C,Attendance!$A:$A,$A9),0)</f>
        <v>0.92708333333333337</v>
      </c>
      <c r="F9" s="7">
        <f>IFERROR(1-SUMIFS(Attendance!$E:$E,Attendance!$A:$A,$A9)/SUMIFS(Attendance!$D:$D,Attendance!$A:$A,$A9),0)</f>
        <v>0.93258426966292141</v>
      </c>
      <c r="G9" s="4">
        <f>SUMIFS(Complaints!$C:$C,Complaints!$A:$A,$A9)</f>
        <v>3</v>
      </c>
      <c r="H9" s="7">
        <f t="shared" si="3"/>
        <v>0.7</v>
      </c>
      <c r="I9" s="7">
        <f>IF($D9="Teaching",IFERROR(AVERAGEIFS(Academic_Results!$C:$C,Academic_Results!$A:$A,$A9)/100,0),IFERROR(SUMIFS(Task_Completion!$D:$D,Task_Completion!$A:$A,$A9)/SUMIFS(Task_Completion!$C:$C,Task_Completion!$A:$A,$A9),0))</f>
        <v>0.81751824817518248</v>
      </c>
      <c r="J9" s="7">
        <f>INDEX(Weights!$B:$B,MATCH($D9,Weights!$A:$A,0))</f>
        <v>0.25</v>
      </c>
      <c r="K9" s="7">
        <f>INDEX(Weights!$C:$C,MATCH($D9,Weights!$A:$A,0))</f>
        <v>0.2</v>
      </c>
      <c r="L9" s="7">
        <f>INDEX(Weights!$D:$D,MATCH($D9,Weights!$A:$A,0))</f>
        <v>0.2</v>
      </c>
      <c r="M9" s="7">
        <f>INDEX(Weights!$E:$E,MATCH($D9,Weights!$A:$A,0))</f>
        <v>0.35</v>
      </c>
      <c r="N9" s="8">
        <f t="shared" si="0"/>
        <v>84.441907412723154</v>
      </c>
      <c r="O9" s="4" t="str">
        <f t="shared" si="1"/>
        <v>Medium</v>
      </c>
      <c r="P9" s="9">
        <f t="shared" si="2"/>
        <v>10</v>
      </c>
    </row>
    <row r="10" spans="1:16" x14ac:dyDescent="0.25">
      <c r="A10" s="4" t="str">
        <f>Employees!A10</f>
        <v>E09</v>
      </c>
      <c r="B10" s="4" t="str">
        <f>Employees!B10</f>
        <v>Fatima Noor</v>
      </c>
      <c r="C10" s="4" t="str">
        <f>Employees!C10</f>
        <v>Teaching (Regular)</v>
      </c>
      <c r="D10" s="4" t="str">
        <f>Employees!D10</f>
        <v>Teaching</v>
      </c>
      <c r="E10" s="7">
        <f>IFERROR(SUMIFS(Attendance!$D:$D,Attendance!$A:$A,$A10)/SUMIFS(Attendance!$C:$C,Attendance!$A:$A,$A10),0)</f>
        <v>0.96180555555555558</v>
      </c>
      <c r="F10" s="7">
        <f>IFERROR(1-SUMIFS(Attendance!$E:$E,Attendance!$A:$A,$A10)/SUMIFS(Attendance!$D:$D,Attendance!$A:$A,$A10),0)</f>
        <v>0.98194945848375448</v>
      </c>
      <c r="G10" s="4">
        <f>SUMIFS(Complaints!$C:$C,Complaints!$A:$A,$A10)</f>
        <v>3</v>
      </c>
      <c r="H10" s="7">
        <f t="shared" si="3"/>
        <v>0.7</v>
      </c>
      <c r="I10" s="7">
        <f>IF($D10="Teaching",IFERROR(AVERAGEIFS(Academic_Results!$C:$C,Academic_Results!$A:$A,$A10)/100,0),IFERROR(SUMIFS(Task_Completion!$D:$D,Task_Completion!$A:$A,$A10)/SUMIFS(Task_Completion!$C:$C,Task_Completion!$A:$A,$A10),0))</f>
        <v>0.87599999999999989</v>
      </c>
      <c r="J10" s="7">
        <f>INDEX(Weights!$B:$B,MATCH($D10,Weights!$A:$A,0))</f>
        <v>0.2</v>
      </c>
      <c r="K10" s="7">
        <f>INDEX(Weights!$C:$C,MATCH($D10,Weights!$A:$A,0))</f>
        <v>0.15</v>
      </c>
      <c r="L10" s="7">
        <f>INDEX(Weights!$D:$D,MATCH($D10,Weights!$A:$A,0))</f>
        <v>0.15</v>
      </c>
      <c r="M10" s="7">
        <f>INDEX(Weights!$E:$E,MATCH($D10,Weights!$A:$A,0))</f>
        <v>0.5</v>
      </c>
      <c r="N10" s="8">
        <f t="shared" si="0"/>
        <v>88.265352988367425</v>
      </c>
      <c r="O10" s="4" t="str">
        <f t="shared" si="1"/>
        <v>High</v>
      </c>
      <c r="P10" s="9">
        <f t="shared" si="2"/>
        <v>15</v>
      </c>
    </row>
    <row r="11" spans="1:16" x14ac:dyDescent="0.25">
      <c r="A11" s="4" t="str">
        <f>Employees!A11</f>
        <v>E10</v>
      </c>
      <c r="B11" s="4" t="str">
        <f>Employees!B11</f>
        <v>Imran Chaudhry</v>
      </c>
      <c r="C11" s="4" t="str">
        <f>Employees!C11</f>
        <v>Teaching (Regular)</v>
      </c>
      <c r="D11" s="4" t="str">
        <f>Employees!D11</f>
        <v>Teaching</v>
      </c>
      <c r="E11" s="7">
        <f>IFERROR(SUMIFS(Attendance!$D:$D,Attendance!$A:$A,$A11)/SUMIFS(Attendance!$C:$C,Attendance!$A:$A,$A11),0)</f>
        <v>0.92361111111111116</v>
      </c>
      <c r="F11" s="7">
        <f>IFERROR(1-SUMIFS(Attendance!$E:$E,Attendance!$A:$A,$A11)/SUMIFS(Attendance!$D:$D,Attendance!$A:$A,$A11),0)</f>
        <v>0.93233082706766912</v>
      </c>
      <c r="G11" s="4">
        <f>SUMIFS(Complaints!$C:$C,Complaints!$A:$A,$A11)</f>
        <v>1</v>
      </c>
      <c r="H11" s="7">
        <f t="shared" si="3"/>
        <v>0.9</v>
      </c>
      <c r="I11" s="7">
        <f>IF($D11="Teaching",IFERROR(AVERAGEIFS(Academic_Results!$C:$C,Academic_Results!$A:$A,$A11)/100,0),IFERROR(SUMIFS(Task_Completion!$D:$D,Task_Completion!$A:$A,$A11)/SUMIFS(Task_Completion!$C:$C,Task_Completion!$A:$A,$A11),0))</f>
        <v>0.73</v>
      </c>
      <c r="J11" s="7">
        <f>INDEX(Weights!$B:$B,MATCH($D11,Weights!$A:$A,0))</f>
        <v>0.2</v>
      </c>
      <c r="K11" s="7">
        <f>INDEX(Weights!$C:$C,MATCH($D11,Weights!$A:$A,0))</f>
        <v>0.15</v>
      </c>
      <c r="L11" s="7">
        <f>INDEX(Weights!$D:$D,MATCH($D11,Weights!$A:$A,0))</f>
        <v>0.15</v>
      </c>
      <c r="M11" s="7">
        <f>INDEX(Weights!$E:$E,MATCH($D11,Weights!$A:$A,0))</f>
        <v>0.5</v>
      </c>
      <c r="N11" s="8">
        <f t="shared" si="0"/>
        <v>82.457184628237258</v>
      </c>
      <c r="O11" s="4" t="str">
        <f t="shared" si="1"/>
        <v>Medium</v>
      </c>
      <c r="P11" s="9">
        <f t="shared" si="2"/>
        <v>10</v>
      </c>
    </row>
    <row r="12" spans="1:16" x14ac:dyDescent="0.25">
      <c r="A12" s="4" t="str">
        <f>Employees!A12</f>
        <v>E11</v>
      </c>
      <c r="B12" s="4" t="str">
        <f>Employees!B12</f>
        <v>Rabia Yousaf</v>
      </c>
      <c r="C12" s="4" t="str">
        <f>Employees!C12</f>
        <v>Teaching (Regular)</v>
      </c>
      <c r="D12" s="4" t="str">
        <f>Employees!D12</f>
        <v>Teaching</v>
      </c>
      <c r="E12" s="7">
        <f>IFERROR(SUMIFS(Attendance!$D:$D,Attendance!$A:$A,$A12)/SUMIFS(Attendance!$C:$C,Attendance!$A:$A,$A12),0)</f>
        <v>0.89583333333333337</v>
      </c>
      <c r="F12" s="7">
        <f>IFERROR(1-SUMIFS(Attendance!$E:$E,Attendance!$A:$A,$A12)/SUMIFS(Attendance!$D:$D,Attendance!$A:$A,$A12),0)</f>
        <v>0.91860465116279066</v>
      </c>
      <c r="G12" s="4">
        <f>SUMIFS(Complaints!$C:$C,Complaints!$A:$A,$A12)</f>
        <v>7</v>
      </c>
      <c r="H12" s="7">
        <f t="shared" si="3"/>
        <v>0.30000000000000004</v>
      </c>
      <c r="I12" s="7">
        <f>IF($D12="Teaching",IFERROR(AVERAGEIFS(Academic_Results!$C:$C,Academic_Results!$A:$A,$A12)/100,0),IFERROR(SUMIFS(Task_Completion!$D:$D,Task_Completion!$A:$A,$A12)/SUMIFS(Task_Completion!$C:$C,Task_Completion!$A:$A,$A12),0))</f>
        <v>0.60799999999999998</v>
      </c>
      <c r="J12" s="7">
        <f>INDEX(Weights!$B:$B,MATCH($D12,Weights!$A:$A,0))</f>
        <v>0.2</v>
      </c>
      <c r="K12" s="7">
        <f>INDEX(Weights!$C:$C,MATCH($D12,Weights!$A:$A,0))</f>
        <v>0.15</v>
      </c>
      <c r="L12" s="7">
        <f>INDEX(Weights!$D:$D,MATCH($D12,Weights!$A:$A,0))</f>
        <v>0.15</v>
      </c>
      <c r="M12" s="7">
        <f>INDEX(Weights!$E:$E,MATCH($D12,Weights!$A:$A,0))</f>
        <v>0.5</v>
      </c>
      <c r="N12" s="8">
        <f t="shared" si="0"/>
        <v>66.595736434108517</v>
      </c>
      <c r="O12" s="4" t="str">
        <f t="shared" si="1"/>
        <v>Low</v>
      </c>
      <c r="P12" s="9">
        <f t="shared" si="2"/>
        <v>7</v>
      </c>
    </row>
    <row r="13" spans="1:16" x14ac:dyDescent="0.25">
      <c r="A13" s="4" t="str">
        <f>Employees!A13</f>
        <v>E12</v>
      </c>
      <c r="B13" s="4" t="str">
        <f>Employees!B13</f>
        <v>Owais Malik</v>
      </c>
      <c r="C13" s="4" t="str">
        <f>Employees!C13</f>
        <v>Teaching (Regular)</v>
      </c>
      <c r="D13" s="4" t="str">
        <f>Employees!D13</f>
        <v>Teaching</v>
      </c>
      <c r="E13" s="7">
        <f>IFERROR(SUMIFS(Attendance!$D:$D,Attendance!$A:$A,$A13)/SUMIFS(Attendance!$C:$C,Attendance!$A:$A,$A13),0)</f>
        <v>0.93055555555555558</v>
      </c>
      <c r="F13" s="7">
        <f>IFERROR(1-SUMIFS(Attendance!$E:$E,Attendance!$A:$A,$A13)/SUMIFS(Attendance!$D:$D,Attendance!$A:$A,$A13),0)</f>
        <v>0.94776119402985071</v>
      </c>
      <c r="G13" s="4">
        <f>SUMIFS(Complaints!$C:$C,Complaints!$A:$A,$A13)</f>
        <v>8</v>
      </c>
      <c r="H13" s="7">
        <f t="shared" si="3"/>
        <v>0.19999999999999996</v>
      </c>
      <c r="I13" s="7">
        <f>IF($D13="Teaching",IFERROR(AVERAGEIFS(Academic_Results!$C:$C,Academic_Results!$A:$A,$A13)/100,0),IFERROR(SUMIFS(Task_Completion!$D:$D,Task_Completion!$A:$A,$A13)/SUMIFS(Task_Completion!$C:$C,Task_Completion!$A:$A,$A13),0))</f>
        <v>0.8015000000000001</v>
      </c>
      <c r="J13" s="7">
        <f>INDEX(Weights!$B:$B,MATCH($D13,Weights!$A:$A,0))</f>
        <v>0.2</v>
      </c>
      <c r="K13" s="7">
        <f>INDEX(Weights!$C:$C,MATCH($D13,Weights!$A:$A,0))</f>
        <v>0.15</v>
      </c>
      <c r="L13" s="7">
        <f>INDEX(Weights!$D:$D,MATCH($D13,Weights!$A:$A,0))</f>
        <v>0.15</v>
      </c>
      <c r="M13" s="7">
        <f>INDEX(Weights!$E:$E,MATCH($D13,Weights!$A:$A,0))</f>
        <v>0.5</v>
      </c>
      <c r="N13" s="8">
        <f t="shared" si="0"/>
        <v>75.902529021558877</v>
      </c>
      <c r="O13" s="4" t="str">
        <f t="shared" si="1"/>
        <v>Medium</v>
      </c>
      <c r="P13" s="9">
        <f t="shared" si="2"/>
        <v>10</v>
      </c>
    </row>
    <row r="14" spans="1:16" x14ac:dyDescent="0.25">
      <c r="A14" s="4" t="str">
        <f>Employees!A14</f>
        <v>E13</v>
      </c>
      <c r="B14" s="4" t="str">
        <f>Employees!B14</f>
        <v>Nida Aslam</v>
      </c>
      <c r="C14" s="4" t="str">
        <f>Employees!C14</f>
        <v>Teaching (Visiting)</v>
      </c>
      <c r="D14" s="4" t="str">
        <f>Employees!D14</f>
        <v>Teaching</v>
      </c>
      <c r="E14" s="7">
        <f>IFERROR(SUMIFS(Attendance!$D:$D,Attendance!$A:$A,$A14)/SUMIFS(Attendance!$C:$C,Attendance!$A:$A,$A14),0)</f>
        <v>0.96180555555555558</v>
      </c>
      <c r="F14" s="7">
        <f>IFERROR(1-SUMIFS(Attendance!$E:$E,Attendance!$A:$A,$A14)/SUMIFS(Attendance!$D:$D,Attendance!$A:$A,$A14),0)</f>
        <v>0.98555956678700363</v>
      </c>
      <c r="G14" s="4">
        <f>SUMIFS(Complaints!$C:$C,Complaints!$A:$A,$A14)</f>
        <v>5</v>
      </c>
      <c r="H14" s="7">
        <f t="shared" si="3"/>
        <v>0.5</v>
      </c>
      <c r="I14" s="7">
        <f>IF($D14="Teaching",IFERROR(AVERAGEIFS(Academic_Results!$C:$C,Academic_Results!$A:$A,$A14)/100,0),IFERROR(SUMIFS(Task_Completion!$D:$D,Task_Completion!$A:$A,$A14)/SUMIFS(Task_Completion!$C:$C,Task_Completion!$A:$A,$A14),0))</f>
        <v>0.94299999999999995</v>
      </c>
      <c r="J14" s="7">
        <f>INDEX(Weights!$B:$B,MATCH($D14,Weights!$A:$A,0))</f>
        <v>0.2</v>
      </c>
      <c r="K14" s="7">
        <f>INDEX(Weights!$C:$C,MATCH($D14,Weights!$A:$A,0))</f>
        <v>0.15</v>
      </c>
      <c r="L14" s="7">
        <f>INDEX(Weights!$D:$D,MATCH($D14,Weights!$A:$A,0))</f>
        <v>0.15</v>
      </c>
      <c r="M14" s="7">
        <f>INDEX(Weights!$E:$E,MATCH($D14,Weights!$A:$A,0))</f>
        <v>0.5</v>
      </c>
      <c r="N14" s="8">
        <f t="shared" si="0"/>
        <v>88.669504612916157</v>
      </c>
      <c r="O14" s="4" t="str">
        <f t="shared" si="1"/>
        <v>High</v>
      </c>
      <c r="P14" s="9">
        <f t="shared" si="2"/>
        <v>15</v>
      </c>
    </row>
    <row r="15" spans="1:16" x14ac:dyDescent="0.25">
      <c r="A15" s="4" t="str">
        <f>Employees!A15</f>
        <v>E14</v>
      </c>
      <c r="B15" s="4" t="str">
        <f>Employees!B15</f>
        <v>Kamran Butt</v>
      </c>
      <c r="C15" s="4" t="str">
        <f>Employees!C15</f>
        <v>Teaching (Visiting)</v>
      </c>
      <c r="D15" s="4" t="str">
        <f>Employees!D15</f>
        <v>Teaching</v>
      </c>
      <c r="E15" s="7">
        <f>IFERROR(SUMIFS(Attendance!$D:$D,Attendance!$A:$A,$A15)/SUMIFS(Attendance!$C:$C,Attendance!$A:$A,$A15),0)</f>
        <v>0.77777777777777779</v>
      </c>
      <c r="F15" s="7">
        <f>IFERROR(1-SUMIFS(Attendance!$E:$E,Attendance!$A:$A,$A15)/SUMIFS(Attendance!$D:$D,Attendance!$A:$A,$A15),0)</f>
        <v>0.8392857142857143</v>
      </c>
      <c r="G15" s="4">
        <f>SUMIFS(Complaints!$C:$C,Complaints!$A:$A,$A15)</f>
        <v>14</v>
      </c>
      <c r="H15" s="7">
        <f t="shared" si="3"/>
        <v>0</v>
      </c>
      <c r="I15" s="7">
        <f>IF($D15="Teaching",IFERROR(AVERAGEIFS(Academic_Results!$C:$C,Academic_Results!$A:$A,$A15)/100,0),IFERROR(SUMIFS(Task_Completion!$D:$D,Task_Completion!$A:$A,$A15)/SUMIFS(Task_Completion!$C:$C,Task_Completion!$A:$A,$A15),0))</f>
        <v>0.70799999999999996</v>
      </c>
      <c r="J15" s="7">
        <f>INDEX(Weights!$B:$B,MATCH($D15,Weights!$A:$A,0))</f>
        <v>0.2</v>
      </c>
      <c r="K15" s="7">
        <f>INDEX(Weights!$C:$C,MATCH($D15,Weights!$A:$A,0))</f>
        <v>0.15</v>
      </c>
      <c r="L15" s="7">
        <f>INDEX(Weights!$D:$D,MATCH($D15,Weights!$A:$A,0))</f>
        <v>0.15</v>
      </c>
      <c r="M15" s="7">
        <f>INDEX(Weights!$E:$E,MATCH($D15,Weights!$A:$A,0))</f>
        <v>0.5</v>
      </c>
      <c r="N15" s="8">
        <f t="shared" si="0"/>
        <v>63.544841269841271</v>
      </c>
      <c r="O15" s="4" t="str">
        <f t="shared" si="1"/>
        <v>Low</v>
      </c>
      <c r="P15" s="9">
        <f t="shared" si="2"/>
        <v>7</v>
      </c>
    </row>
    <row r="16" spans="1:16" x14ac:dyDescent="0.25">
      <c r="A16" s="4" t="str">
        <f>Employees!A16</f>
        <v>E15</v>
      </c>
      <c r="B16" s="4" t="str">
        <f>Employees!B16</f>
        <v>Shabana Bibi</v>
      </c>
      <c r="C16" s="4" t="str">
        <f>Employees!C16</f>
        <v>Domestic Staff</v>
      </c>
      <c r="D16" s="4" t="str">
        <f>Employees!D16</f>
        <v>Support</v>
      </c>
      <c r="E16" s="7">
        <f>IFERROR(SUMIFS(Attendance!$D:$D,Attendance!$A:$A,$A16)/SUMIFS(Attendance!$C:$C,Attendance!$A:$A,$A16),0)</f>
        <v>0.90625</v>
      </c>
      <c r="F16" s="7">
        <f>IFERROR(1-SUMIFS(Attendance!$E:$E,Attendance!$A:$A,$A16)/SUMIFS(Attendance!$D:$D,Attendance!$A:$A,$A16),0)</f>
        <v>0.92720306513409967</v>
      </c>
      <c r="G16" s="4">
        <f>SUMIFS(Complaints!$C:$C,Complaints!$A:$A,$A16)</f>
        <v>5</v>
      </c>
      <c r="H16" s="7">
        <f t="shared" si="3"/>
        <v>0.5</v>
      </c>
      <c r="I16" s="7">
        <f>IF($D16="Teaching",IFERROR(AVERAGEIFS(Academic_Results!$C:$C,Academic_Results!$A:$A,$A16)/100,0),IFERROR(SUMIFS(Task_Completion!$D:$D,Task_Completion!$A:$A,$A16)/SUMIFS(Task_Completion!$C:$C,Task_Completion!$A:$A,$A16),0))</f>
        <v>0.81208053691275173</v>
      </c>
      <c r="J16" s="7">
        <f>INDEX(Weights!$B:$B,MATCH($D16,Weights!$A:$A,0))</f>
        <v>0.3</v>
      </c>
      <c r="K16" s="7">
        <f>INDEX(Weights!$C:$C,MATCH($D16,Weights!$A:$A,0))</f>
        <v>0.25</v>
      </c>
      <c r="L16" s="7">
        <f>INDEX(Weights!$D:$D,MATCH($D16,Weights!$A:$A,0))</f>
        <v>0.25</v>
      </c>
      <c r="M16" s="7">
        <f>INDEX(Weights!$E:$E,MATCH($D16,Weights!$A:$A,0))</f>
        <v>0.2</v>
      </c>
      <c r="N16" s="8">
        <f t="shared" si="0"/>
        <v>79.109187366607529</v>
      </c>
      <c r="O16" s="4" t="str">
        <f t="shared" si="1"/>
        <v>Medium</v>
      </c>
      <c r="P16" s="9">
        <f t="shared" si="2"/>
        <v>10</v>
      </c>
    </row>
    <row r="17" spans="1:16" x14ac:dyDescent="0.25">
      <c r="A17" s="4" t="str">
        <f>Employees!A17</f>
        <v>E16</v>
      </c>
      <c r="B17" s="4" t="str">
        <f>Employees!B17</f>
        <v>Rukhsana Kausar</v>
      </c>
      <c r="C17" s="4" t="str">
        <f>Employees!C17</f>
        <v>Domestic Staff</v>
      </c>
      <c r="D17" s="4" t="str">
        <f>Employees!D17</f>
        <v>Support</v>
      </c>
      <c r="E17" s="7">
        <f>IFERROR(SUMIFS(Attendance!$D:$D,Attendance!$A:$A,$A17)/SUMIFS(Attendance!$C:$C,Attendance!$A:$A,$A17),0)</f>
        <v>0.83680555555555558</v>
      </c>
      <c r="F17" s="7">
        <f>IFERROR(1-SUMIFS(Attendance!$E:$E,Attendance!$A:$A,$A17)/SUMIFS(Attendance!$D:$D,Attendance!$A:$A,$A17),0)</f>
        <v>0.81327800829875518</v>
      </c>
      <c r="G17" s="4">
        <f>SUMIFS(Complaints!$C:$C,Complaints!$A:$A,$A17)</f>
        <v>22</v>
      </c>
      <c r="H17" s="7">
        <f t="shared" si="3"/>
        <v>0</v>
      </c>
      <c r="I17" s="7">
        <f>IF($D17="Teaching",IFERROR(AVERAGEIFS(Academic_Results!$C:$C,Academic_Results!$A:$A,$A17)/100,0),IFERROR(SUMIFS(Task_Completion!$D:$D,Task_Completion!$A:$A,$A17)/SUMIFS(Task_Completion!$C:$C,Task_Completion!$A:$A,$A17),0))</f>
        <v>0.6</v>
      </c>
      <c r="J17" s="7">
        <f>INDEX(Weights!$B:$B,MATCH($D17,Weights!$A:$A,0))</f>
        <v>0.3</v>
      </c>
      <c r="K17" s="7">
        <f>INDEX(Weights!$C:$C,MATCH($D17,Weights!$A:$A,0))</f>
        <v>0.25</v>
      </c>
      <c r="L17" s="7">
        <f>INDEX(Weights!$D:$D,MATCH($D17,Weights!$A:$A,0))</f>
        <v>0.25</v>
      </c>
      <c r="M17" s="7">
        <f>INDEX(Weights!$E:$E,MATCH($D17,Weights!$A:$A,0))</f>
        <v>0.2</v>
      </c>
      <c r="N17" s="8">
        <f t="shared" si="0"/>
        <v>57.436116874135543</v>
      </c>
      <c r="O17" s="4" t="str">
        <f t="shared" si="1"/>
        <v>Low</v>
      </c>
      <c r="P17" s="9">
        <f t="shared" si="2"/>
        <v>7</v>
      </c>
    </row>
    <row r="18" spans="1:16" x14ac:dyDescent="0.25">
      <c r="A18" s="4" t="str">
        <f>Employees!A18</f>
        <v>E17</v>
      </c>
      <c r="B18" s="4" t="str">
        <f>Employees!B18</f>
        <v>Naveed Anjum</v>
      </c>
      <c r="C18" s="4" t="str">
        <f>Employees!C18</f>
        <v>Security</v>
      </c>
      <c r="D18" s="4" t="str">
        <f>Employees!D18</f>
        <v>Support</v>
      </c>
      <c r="E18" s="7">
        <f>IFERROR(SUMIFS(Attendance!$D:$D,Attendance!$A:$A,$A18)/SUMIFS(Attendance!$C:$C,Attendance!$A:$A,$A18),0)</f>
        <v>0.97569444444444442</v>
      </c>
      <c r="F18" s="7">
        <f>IFERROR(1-SUMIFS(Attendance!$E:$E,Attendance!$A:$A,$A18)/SUMIFS(Attendance!$D:$D,Attendance!$A:$A,$A18),0)</f>
        <v>0.97864768683274017</v>
      </c>
      <c r="G18" s="4">
        <f>SUMIFS(Complaints!$C:$C,Complaints!$A:$A,$A18)</f>
        <v>1</v>
      </c>
      <c r="H18" s="7">
        <f t="shared" si="3"/>
        <v>0.9</v>
      </c>
      <c r="I18" s="7">
        <f>IF($D18="Teaching",IFERROR(AVERAGEIFS(Academic_Results!$C:$C,Academic_Results!$A:$A,$A18)/100,0),IFERROR(SUMIFS(Task_Completion!$D:$D,Task_Completion!$A:$A,$A18)/SUMIFS(Task_Completion!$C:$C,Task_Completion!$A:$A,$A18),0))</f>
        <v>0.93150684931506844</v>
      </c>
      <c r="J18" s="7">
        <f>INDEX(Weights!$B:$B,MATCH($D18,Weights!$A:$A,0))</f>
        <v>0.3</v>
      </c>
      <c r="K18" s="7">
        <f>INDEX(Weights!$C:$C,MATCH($D18,Weights!$A:$A,0))</f>
        <v>0.25</v>
      </c>
      <c r="L18" s="7">
        <f>INDEX(Weights!$D:$D,MATCH($D18,Weights!$A:$A,0))</f>
        <v>0.25</v>
      </c>
      <c r="M18" s="7">
        <f>INDEX(Weights!$E:$E,MATCH($D18,Weights!$A:$A,0))</f>
        <v>0.2</v>
      </c>
      <c r="N18" s="8">
        <f t="shared" si="0"/>
        <v>94.867162490453211</v>
      </c>
      <c r="O18" s="4" t="str">
        <f t="shared" si="1"/>
        <v>High</v>
      </c>
      <c r="P18" s="9">
        <f t="shared" si="2"/>
        <v>15</v>
      </c>
    </row>
    <row r="19" spans="1:16" x14ac:dyDescent="0.25">
      <c r="A19" s="4" t="str">
        <f>Employees!A19</f>
        <v>E18</v>
      </c>
      <c r="B19" s="4" t="str">
        <f>Employees!B19</f>
        <v>Rashid Mehmood</v>
      </c>
      <c r="C19" s="4" t="str">
        <f>Employees!C19</f>
        <v>Security</v>
      </c>
      <c r="D19" s="4" t="str">
        <f>Employees!D19</f>
        <v>Support</v>
      </c>
      <c r="E19" s="7">
        <f>IFERROR(SUMIFS(Attendance!$D:$D,Attendance!$A:$A,$A19)/SUMIFS(Attendance!$C:$C,Attendance!$A:$A,$A19),0)</f>
        <v>0.91666666666666663</v>
      </c>
      <c r="F19" s="7">
        <f>IFERROR(1-SUMIFS(Attendance!$E:$E,Attendance!$A:$A,$A19)/SUMIFS(Attendance!$D:$D,Attendance!$A:$A,$A19),0)</f>
        <v>0.93560606060606055</v>
      </c>
      <c r="G19" s="4">
        <f>SUMIFS(Complaints!$C:$C,Complaints!$A:$A,$A19)</f>
        <v>8</v>
      </c>
      <c r="H19" s="7">
        <f t="shared" si="3"/>
        <v>0.19999999999999996</v>
      </c>
      <c r="I19" s="7">
        <f>IF($D19="Teaching",IFERROR(AVERAGEIFS(Academic_Results!$C:$C,Academic_Results!$A:$A,$A19)/100,0),IFERROR(SUMIFS(Task_Completion!$D:$D,Task_Completion!$A:$A,$A19)/SUMIFS(Task_Completion!$C:$C,Task_Completion!$A:$A,$A19),0))</f>
        <v>0.78289473684210531</v>
      </c>
      <c r="J19" s="7">
        <f>INDEX(Weights!$B:$B,MATCH($D19,Weights!$A:$A,0))</f>
        <v>0.3</v>
      </c>
      <c r="K19" s="7">
        <f>INDEX(Weights!$C:$C,MATCH($D19,Weights!$A:$A,0))</f>
        <v>0.25</v>
      </c>
      <c r="L19" s="7">
        <f>INDEX(Weights!$D:$D,MATCH($D19,Weights!$A:$A,0))</f>
        <v>0.25</v>
      </c>
      <c r="M19" s="7">
        <f>INDEX(Weights!$E:$E,MATCH($D19,Weights!$A:$A,0))</f>
        <v>0.2</v>
      </c>
      <c r="N19" s="8">
        <f t="shared" si="0"/>
        <v>71.548046251993611</v>
      </c>
      <c r="O19" s="4" t="str">
        <f t="shared" si="1"/>
        <v>Medium</v>
      </c>
      <c r="P19" s="9">
        <f t="shared" si="2"/>
        <v>10</v>
      </c>
    </row>
    <row r="20" spans="1:16" x14ac:dyDescent="0.25">
      <c r="A20" s="4" t="str">
        <f>Employees!A20</f>
        <v>E19</v>
      </c>
      <c r="B20" s="4" t="str">
        <f>Employees!B20</f>
        <v>Aslam Masih</v>
      </c>
      <c r="C20" s="4" t="str">
        <f>Employees!C20</f>
        <v>Maintenance</v>
      </c>
      <c r="D20" s="4" t="str">
        <f>Employees!D20</f>
        <v>Support</v>
      </c>
      <c r="E20" s="7">
        <f>IFERROR(SUMIFS(Attendance!$D:$D,Attendance!$A:$A,$A20)/SUMIFS(Attendance!$C:$C,Attendance!$A:$A,$A20),0)</f>
        <v>0.92361111111111116</v>
      </c>
      <c r="F20" s="7">
        <f>IFERROR(1-SUMIFS(Attendance!$E:$E,Attendance!$A:$A,$A20)/SUMIFS(Attendance!$D:$D,Attendance!$A:$A,$A20),0)</f>
        <v>0.93233082706766912</v>
      </c>
      <c r="G20" s="4">
        <f>SUMIFS(Complaints!$C:$C,Complaints!$A:$A,$A20)</f>
        <v>4</v>
      </c>
      <c r="H20" s="7">
        <f t="shared" si="3"/>
        <v>0.6</v>
      </c>
      <c r="I20" s="7">
        <f>IF($D20="Teaching",IFERROR(AVERAGEIFS(Academic_Results!$C:$C,Academic_Results!$A:$A,$A20)/100,0),IFERROR(SUMIFS(Task_Completion!$D:$D,Task_Completion!$A:$A,$A20)/SUMIFS(Task_Completion!$C:$C,Task_Completion!$A:$A,$A20),0))</f>
        <v>0.79850746268656714</v>
      </c>
      <c r="J20" s="7">
        <f>INDEX(Weights!$B:$B,MATCH($D20,Weights!$A:$A,0))</f>
        <v>0.3</v>
      </c>
      <c r="K20" s="7">
        <f>INDEX(Weights!$C:$C,MATCH($D20,Weights!$A:$A,0))</f>
        <v>0.25</v>
      </c>
      <c r="L20" s="7">
        <f>INDEX(Weights!$D:$D,MATCH($D20,Weights!$A:$A,0))</f>
        <v>0.25</v>
      </c>
      <c r="M20" s="7">
        <f>INDEX(Weights!$E:$E,MATCH($D20,Weights!$A:$A,0))</f>
        <v>0.2</v>
      </c>
      <c r="N20" s="8">
        <f t="shared" si="0"/>
        <v>81.986753263756412</v>
      </c>
      <c r="O20" s="4" t="str">
        <f t="shared" si="1"/>
        <v>Medium</v>
      </c>
      <c r="P20" s="9">
        <f t="shared" si="2"/>
        <v>10</v>
      </c>
    </row>
    <row r="21" spans="1:16" x14ac:dyDescent="0.25">
      <c r="A21" s="4" t="str">
        <f>Employees!A21</f>
        <v>E20</v>
      </c>
      <c r="B21" s="4" t="str">
        <f>Employees!B21</f>
        <v>Yasir Iqbal</v>
      </c>
      <c r="C21" s="4" t="str">
        <f>Employees!C21</f>
        <v>Maintenance</v>
      </c>
      <c r="D21" s="4" t="str">
        <f>Employees!D21</f>
        <v>Support</v>
      </c>
      <c r="E21" s="7">
        <f>IFERROR(SUMIFS(Attendance!$D:$D,Attendance!$A:$A,$A21)/SUMIFS(Attendance!$C:$C,Attendance!$A:$A,$A21),0)</f>
        <v>0.82638888888888884</v>
      </c>
      <c r="F21" s="7">
        <f>IFERROR(1-SUMIFS(Attendance!$E:$E,Attendance!$A:$A,$A21)/SUMIFS(Attendance!$D:$D,Attendance!$A:$A,$A21),0)</f>
        <v>0.81932773109243695</v>
      </c>
      <c r="G21" s="4">
        <f>SUMIFS(Complaints!$C:$C,Complaints!$A:$A,$A21)</f>
        <v>16</v>
      </c>
      <c r="H21" s="7">
        <f t="shared" si="3"/>
        <v>0</v>
      </c>
      <c r="I21" s="7">
        <f>IF($D21="Teaching",IFERROR(AVERAGEIFS(Academic_Results!$C:$C,Academic_Results!$A:$A,$A21)/100,0),IFERROR(SUMIFS(Task_Completion!$D:$D,Task_Completion!$A:$A,$A21)/SUMIFS(Task_Completion!$C:$C,Task_Completion!$A:$A,$A21),0))</f>
        <v>0.54054054054054057</v>
      </c>
      <c r="J21" s="7">
        <f>INDEX(Weights!$B:$B,MATCH($D21,Weights!$A:$A,0))</f>
        <v>0.3</v>
      </c>
      <c r="K21" s="7">
        <f>INDEX(Weights!$C:$C,MATCH($D21,Weights!$A:$A,0))</f>
        <v>0.25</v>
      </c>
      <c r="L21" s="7">
        <f>INDEX(Weights!$D:$D,MATCH($D21,Weights!$A:$A,0))</f>
        <v>0.25</v>
      </c>
      <c r="M21" s="7">
        <f>INDEX(Weights!$E:$E,MATCH($D21,Weights!$A:$A,0))</f>
        <v>0.2</v>
      </c>
      <c r="N21" s="8">
        <f t="shared" si="0"/>
        <v>56.085670754788396</v>
      </c>
      <c r="O21" s="4" t="str">
        <f t="shared" si="1"/>
        <v>Low</v>
      </c>
      <c r="P21" s="9">
        <f t="shared" si="2"/>
        <v>7</v>
      </c>
    </row>
    <row r="22" spans="1:16" x14ac:dyDescent="0.25">
      <c r="A22" s="4" t="str">
        <f>Employees!A22</f>
        <v>E21</v>
      </c>
      <c r="B22" s="4" t="str">
        <f>Employees!B22</f>
        <v>Nasreen Akhtar</v>
      </c>
      <c r="C22" s="4" t="str">
        <f>Employees!C22</f>
        <v>Maintenance</v>
      </c>
      <c r="D22" s="4" t="str">
        <f>Employees!D22</f>
        <v>Support</v>
      </c>
      <c r="E22" s="7">
        <f>IFERROR(SUMIFS(Attendance!$D:$D,Attendance!$A:$A,$A22)/SUMIFS(Attendance!$C:$C,Attendance!$A:$A,$A22),0)</f>
        <v>0.875</v>
      </c>
      <c r="F22" s="7">
        <f>IFERROR(1-SUMIFS(Attendance!$E:$E,Attendance!$A:$A,$A22)/SUMIFS(Attendance!$D:$D,Attendance!$A:$A,$A22),0)</f>
        <v>0.87301587301587302</v>
      </c>
      <c r="G22" s="4">
        <f>SUMIFS(Complaints!$C:$C,Complaints!$A:$A,$A22)</f>
        <v>12</v>
      </c>
      <c r="H22" s="7">
        <f t="shared" si="3"/>
        <v>0</v>
      </c>
      <c r="I22" s="7">
        <f>IF($D22="Teaching",IFERROR(AVERAGEIFS(Academic_Results!$C:$C,Academic_Results!$A:$A,$A22)/100,0),IFERROR(SUMIFS(Task_Completion!$D:$D,Task_Completion!$A:$A,$A22)/SUMIFS(Task_Completion!$C:$C,Task_Completion!$A:$A,$A22),0))</f>
        <v>0.83673469387755106</v>
      </c>
      <c r="J22" s="7">
        <f>INDEX(Weights!$B:$B,MATCH($D22,Weights!$A:$A,0))</f>
        <v>0.3</v>
      </c>
      <c r="K22" s="7">
        <f>INDEX(Weights!$C:$C,MATCH($D22,Weights!$A:$A,0))</f>
        <v>0.25</v>
      </c>
      <c r="L22" s="7">
        <f>INDEX(Weights!$D:$D,MATCH($D22,Weights!$A:$A,0))</f>
        <v>0.25</v>
      </c>
      <c r="M22" s="7">
        <f>INDEX(Weights!$E:$E,MATCH($D22,Weights!$A:$A,0))</f>
        <v>0.2</v>
      </c>
      <c r="N22" s="8">
        <f t="shared" si="0"/>
        <v>64.810090702947861</v>
      </c>
      <c r="O22" s="4" t="str">
        <f t="shared" si="1"/>
        <v>Low</v>
      </c>
      <c r="P22" s="9">
        <f t="shared" si="2"/>
        <v>7</v>
      </c>
    </row>
    <row r="23" spans="1:16" x14ac:dyDescent="0.25">
      <c r="A23" s="4" t="str">
        <f>Employees!A23</f>
        <v>E22</v>
      </c>
      <c r="B23" s="4" t="str">
        <f>Employees!B23</f>
        <v>Ghulam Fareed</v>
      </c>
      <c r="C23" s="4" t="str">
        <f>Employees!C23</f>
        <v>Maintenance</v>
      </c>
      <c r="D23" s="4" t="str">
        <f>Employees!D23</f>
        <v>Support</v>
      </c>
      <c r="E23" s="7">
        <f>IFERROR(SUMIFS(Attendance!$D:$D,Attendance!$A:$A,$A23)/SUMIFS(Attendance!$C:$C,Attendance!$A:$A,$A23),0)</f>
        <v>0.96527777777777779</v>
      </c>
      <c r="F23" s="7">
        <f>IFERROR(1-SUMIFS(Attendance!$E:$E,Attendance!$A:$A,$A23)/SUMIFS(Attendance!$D:$D,Attendance!$A:$A,$A23),0)</f>
        <v>0.98561151079136688</v>
      </c>
      <c r="G23" s="4">
        <f>SUMIFS(Complaints!$C:$C,Complaints!$A:$A,$A23)</f>
        <v>3</v>
      </c>
      <c r="H23" s="7">
        <f t="shared" si="3"/>
        <v>0.7</v>
      </c>
      <c r="I23" s="7">
        <f>IF($D23="Teaching",IFERROR(AVERAGEIFS(Academic_Results!$C:$C,Academic_Results!$A:$A,$A23)/100,0),IFERROR(SUMIFS(Task_Completion!$D:$D,Task_Completion!$A:$A,$A23)/SUMIFS(Task_Completion!$C:$C,Task_Completion!$A:$A,$A23),0))</f>
        <v>0.9375</v>
      </c>
      <c r="J23" s="7">
        <f>INDEX(Weights!$B:$B,MATCH($D23,Weights!$A:$A,0))</f>
        <v>0.3</v>
      </c>
      <c r="K23" s="7">
        <f>INDEX(Weights!$C:$C,MATCH($D23,Weights!$A:$A,0))</f>
        <v>0.25</v>
      </c>
      <c r="L23" s="7">
        <f>INDEX(Weights!$D:$D,MATCH($D23,Weights!$A:$A,0))</f>
        <v>0.25</v>
      </c>
      <c r="M23" s="7">
        <f>INDEX(Weights!$E:$E,MATCH($D23,Weights!$A:$A,0))</f>
        <v>0.2</v>
      </c>
      <c r="N23" s="8">
        <f t="shared" si="0"/>
        <v>89.848621103117509</v>
      </c>
      <c r="O23" s="4" t="str">
        <f t="shared" si="1"/>
        <v>High</v>
      </c>
      <c r="P23" s="9">
        <f t="shared" si="2"/>
        <v>15</v>
      </c>
    </row>
    <row r="25" spans="1:16" x14ac:dyDescent="0.25">
      <c r="A25" s="6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Employees</vt:lpstr>
      <vt:lpstr>Weights</vt:lpstr>
      <vt:lpstr>Attendance</vt:lpstr>
      <vt:lpstr>Complaints</vt:lpstr>
      <vt:lpstr>Task_Completion</vt:lpstr>
      <vt:lpstr>Academic_Results</vt:lpstr>
      <vt:lpstr>Performance_Summary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SL</cp:lastModifiedBy>
  <cp:revision>0</cp:revision>
  <dcterms:created xsi:type="dcterms:W3CDTF">2026-07-15T04:56:32Z</dcterms:created>
  <dcterms:modified xsi:type="dcterms:W3CDTF">2026-07-15T08:13:17Z</dcterms:modified>
  <dc:language>en-US</dc:language>
</cp:coreProperties>
</file>